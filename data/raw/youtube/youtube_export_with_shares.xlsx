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deos" sheetId="1" state="visible" r:id="rId1"/>
    <sheet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 mmm yyyy"/>
    <numFmt numFmtId="165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3" fillId="0" borderId="0" pivotButton="0" quotePrefix="0" xfId="0"/>
    <xf numFmtId="0" fontId="2" fillId="0" borderId="0" pivotButton="0" quotePrefix="0" xfId="0"/>
    <xf numFmtId="164" fontId="3" fillId="0" borderId="0" pivotButton="0" quotePrefix="0" xfId="0"/>
    <xf numFmtId="0" fontId="2" fillId="3" borderId="0" pivotButton="0" quotePrefix="0" xfId="0"/>
    <xf numFmtId="3" fontId="3" fillId="0" borderId="0" pivotButton="0" quotePrefix="0" xfId="0"/>
    <xf numFmtId="3" fontId="2" fillId="0" borderId="0" pivotButton="0" quotePrefix="0" xfId="0"/>
    <xf numFmtId="165" fontId="2" fillId="0" borderId="0" pivotButton="0" quotePrefix="0" xfId="0"/>
    <xf numFmtId="164" fontId="2" fillId="0" borderId="0" pivotButton="0" quotePrefix="0" xfId="0"/>
    <xf numFmtId="164" fontId="3" fillId="0" borderId="0" pivotButton="0" quotePrefix="0" xfId="0"/>
    <xf numFmtId="165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4" customWidth="1" min="2" max="2"/>
    <col width="14" customWidth="1" min="3" max="3"/>
    <col width="16" customWidth="1" min="4" max="4"/>
    <col width="45" customWidth="1" min="5" max="5"/>
  </cols>
  <sheetData>
    <row r="1">
      <c r="A1" s="1" t="inlineStr">
        <is>
          <t>Video</t>
        </is>
      </c>
      <c r="B1" s="1" t="inlineStr">
        <is>
          <t>Campaign</t>
        </is>
      </c>
      <c r="C1" s="1" t="inlineStr">
        <is>
          <t>Release date</t>
        </is>
      </c>
      <c r="D1" s="1" t="inlineStr">
        <is>
          <t>Genre</t>
        </is>
      </c>
      <c r="E1" s="1" t="inlineStr">
        <is>
          <t>Notes</t>
        </is>
      </c>
    </row>
    <row r="2">
      <c r="A2" s="2" t="inlineStr">
        <is>
          <t>Dreams | A Kehelmala Short</t>
        </is>
      </c>
      <c r="B2" s="3" t="n"/>
      <c r="C2" s="10" t="n">
        <v>46290</v>
      </c>
      <c r="D2" s="5" t="n"/>
      <c r="E2" s="3" t="inlineStr">
        <is>
          <t>https://www.youtube.com/watch?v=N88snzX_pVk</t>
        </is>
      </c>
    </row>
    <row r="3">
      <c r="A3" s="2" t="inlineStr">
        <is>
          <t>White Lies | A Kehelmala Short</t>
        </is>
      </c>
      <c r="B3" s="3" t="n"/>
      <c r="C3" s="10" t="n">
        <v>46283</v>
      </c>
      <c r="D3" s="5" t="n"/>
      <c r="E3" s="3" t="inlineStr">
        <is>
          <t>https://www.youtube.com/watch?v=Drkc_uw2YKo</t>
        </is>
      </c>
    </row>
    <row r="4">
      <c r="A4" s="2" t="inlineStr">
        <is>
          <t>Mansions</t>
        </is>
      </c>
      <c r="B4" s="3" t="n"/>
      <c r="C4" s="10" t="n">
        <v>46279</v>
      </c>
      <c r="D4" s="5" t="n"/>
      <c r="E4" s="3" t="inlineStr">
        <is>
          <t>https://www.youtube.com/watch?v=95c_ZDWHCUk</t>
        </is>
      </c>
    </row>
    <row r="5">
      <c r="A5" s="2" t="inlineStr">
        <is>
          <t>Bodhi Pooja | A Kehelmala Short</t>
        </is>
      </c>
      <c r="B5" s="3" t="n"/>
      <c r="C5" s="10" t="n">
        <v>46276</v>
      </c>
      <c r="D5" s="5" t="n"/>
      <c r="E5" s="3" t="inlineStr">
        <is>
          <t>https://www.youtube.com/watch?v=dBEzCbsGgCA</t>
        </is>
      </c>
    </row>
    <row r="6">
      <c r="A6" s="2" t="inlineStr">
        <is>
          <t>Argument</t>
        </is>
      </c>
      <c r="B6" s="3" t="n"/>
      <c r="C6" s="10" t="n">
        <v>46272</v>
      </c>
      <c r="D6" s="5" t="n"/>
      <c r="E6" s="3" t="inlineStr">
        <is>
          <t>https://www.youtube.com/watch?v=_mCxXbRFXtg</t>
        </is>
      </c>
    </row>
    <row r="7">
      <c r="A7" s="2" t="inlineStr">
        <is>
          <t>Oops! | A Kehelmala Short</t>
        </is>
      </c>
      <c r="B7" s="3" t="n"/>
      <c r="C7" s="10" t="n">
        <v>46269</v>
      </c>
      <c r="D7" s="5" t="n"/>
      <c r="E7" s="3" t="inlineStr">
        <is>
          <t>https://www.youtube.com/watch?v=t5fV_nQrxeg</t>
        </is>
      </c>
    </row>
    <row r="8">
      <c r="A8" s="2" t="inlineStr">
        <is>
          <t>Internship</t>
        </is>
      </c>
      <c r="B8" s="3" t="n"/>
      <c r="C8" s="10" t="n">
        <v>46265</v>
      </c>
      <c r="D8" s="5" t="n"/>
      <c r="E8" s="3" t="inlineStr">
        <is>
          <t>https://www.youtube.com/watch?v=B7PH4ox-JgA</t>
        </is>
      </c>
    </row>
    <row r="9">
      <c r="A9" s="2" t="inlineStr">
        <is>
          <t>Mansions | A Kehelmala Short</t>
        </is>
      </c>
      <c r="B9" s="3" t="n"/>
      <c r="C9" s="10" t="n">
        <v>46262</v>
      </c>
      <c r="D9" s="5" t="n"/>
      <c r="E9" s="3" t="inlineStr">
        <is>
          <t>https://www.youtube.com/watch?v=oeU2Qqf_hCE</t>
        </is>
      </c>
    </row>
    <row r="10">
      <c r="A10" s="2" t="inlineStr">
        <is>
          <t>Virtually Perfect | A Kehelmala Short</t>
        </is>
      </c>
      <c r="B10" s="3" t="n"/>
      <c r="C10" s="10" t="n">
        <v>46255</v>
      </c>
      <c r="D10" s="5" t="n"/>
      <c r="E10" s="3" t="inlineStr">
        <is>
          <t>https://www.youtube.com/watch?v=wVFPcnljNsA</t>
        </is>
      </c>
    </row>
    <row r="11">
      <c r="A11" s="2" t="inlineStr">
        <is>
          <t>Frames</t>
        </is>
      </c>
      <c r="B11" s="3" t="n"/>
      <c r="C11" s="10" t="n">
        <v>46251</v>
      </c>
      <c r="D11" s="5" t="n"/>
      <c r="E11" s="3" t="inlineStr">
        <is>
          <t>https://www.youtube.com/watch?v=oXCsfQo52MY</t>
        </is>
      </c>
    </row>
    <row r="12">
      <c r="A12" s="2" t="inlineStr">
        <is>
          <t>Reunion | A Kehelmala Short</t>
        </is>
      </c>
      <c r="B12" s="3" t="n"/>
      <c r="C12" s="10" t="n">
        <v>46248</v>
      </c>
      <c r="D12" s="5" t="n"/>
      <c r="E12" s="3" t="inlineStr">
        <is>
          <t>https://www.youtube.com/watch?v=9aZXdQlFNZk</t>
        </is>
      </c>
    </row>
    <row r="13">
      <c r="A13" s="2" t="inlineStr">
        <is>
          <t>Dodol, pt. 2</t>
        </is>
      </c>
      <c r="B13" s="3" t="n"/>
      <c r="C13" s="10" t="n">
        <v>46244</v>
      </c>
      <c r="D13" s="5" t="n"/>
      <c r="E13" s="3" t="inlineStr">
        <is>
          <t>https://www.youtube.com/watch?v=BKRAHrJaBWw</t>
        </is>
      </c>
    </row>
    <row r="14">
      <c r="A14" s="2" t="inlineStr">
        <is>
          <t>The Pill | A Kehelmala Short</t>
        </is>
      </c>
      <c r="B14" s="3" t="n"/>
      <c r="C14" s="10" t="n">
        <v>46241</v>
      </c>
      <c r="D14" s="5" t="n"/>
      <c r="E14" s="3" t="inlineStr">
        <is>
          <t>https://www.youtube.com/watch?v=006hHubla6g</t>
        </is>
      </c>
    </row>
    <row r="15">
      <c r="A15" s="2" t="inlineStr">
        <is>
          <t>Dodol, pt. 1</t>
        </is>
      </c>
      <c r="B15" s="3" t="n"/>
      <c r="C15" s="10" t="n">
        <v>46237</v>
      </c>
      <c r="D15" s="5" t="n"/>
      <c r="E15" s="3" t="inlineStr">
        <is>
          <t>https://www.youtube.com/watch?v=F8VE1oAR8P0</t>
        </is>
      </c>
    </row>
    <row r="16">
      <c r="A16" s="2" t="inlineStr">
        <is>
          <t>Argument | A Kehelmala Short</t>
        </is>
      </c>
      <c r="B16" s="3" t="n"/>
      <c r="C16" s="10" t="n">
        <v>46234</v>
      </c>
      <c r="D16" s="5" t="n"/>
      <c r="E16" s="3" t="inlineStr">
        <is>
          <t>https://www.youtube.com/watch?v=DmUYCL9oyTM</t>
        </is>
      </c>
    </row>
    <row r="17">
      <c r="A17" s="2" t="inlineStr">
        <is>
          <t>Toxic</t>
        </is>
      </c>
      <c r="B17" s="3" t="n"/>
      <c r="C17" s="10" t="n">
        <v>46230</v>
      </c>
      <c r="D17" s="5" t="n"/>
      <c r="E17" s="3" t="inlineStr">
        <is>
          <t>https://www.youtube.com/watch?v=Aiv5zMGxpZs</t>
        </is>
      </c>
    </row>
    <row r="18">
      <c r="A18" s="2" t="inlineStr">
        <is>
          <t>My Mother is Dead and I Have Work Tomorrow | A Kehelmala Short Film</t>
        </is>
      </c>
      <c r="B18" s="3" t="n"/>
      <c r="C18" s="10" t="n">
        <v>46227</v>
      </c>
      <c r="D18" s="5" t="n"/>
      <c r="E18" s="3" t="inlineStr">
        <is>
          <t>https://www.youtube.com/watch?v=CE0v1jyOpI0</t>
        </is>
      </c>
    </row>
    <row r="19">
      <c r="A19" s="2" t="inlineStr">
        <is>
          <t>Pinipa, pt. 2</t>
        </is>
      </c>
      <c r="B19" s="3" t="n"/>
      <c r="C19" s="10" t="n">
        <v>46223</v>
      </c>
      <c r="D19" s="5" t="n"/>
      <c r="E19" s="3" t="inlineStr">
        <is>
          <t>https://www.youtube.com/watch?v=7KarzpIG5JA</t>
        </is>
      </c>
    </row>
    <row r="20">
      <c r="A20" s="2" t="inlineStr">
        <is>
          <t>Frames | A Kehelmala Short</t>
        </is>
      </c>
      <c r="B20" s="3" t="n"/>
      <c r="C20" s="10" t="n">
        <v>46220</v>
      </c>
      <c r="D20" s="5" t="n"/>
      <c r="E20" s="3" t="inlineStr">
        <is>
          <t>https://www.youtube.com/watch?v=fRWT2bYQi_I</t>
        </is>
      </c>
    </row>
    <row r="21">
      <c r="A21" s="2" t="inlineStr">
        <is>
          <t>Pinipa, pt 1</t>
        </is>
      </c>
      <c r="B21" s="3" t="n"/>
      <c r="C21" s="10" t="n">
        <v>46217</v>
      </c>
      <c r="D21" s="5" t="n"/>
      <c r="E21" s="3" t="inlineStr">
        <is>
          <t>https://www.youtube.com/watch?v=US2fTK1mEGE</t>
        </is>
      </c>
    </row>
    <row r="22">
      <c r="A22" s="2" t="inlineStr">
        <is>
          <t>Internship | A Kehelmala Short</t>
        </is>
      </c>
      <c r="B22" s="3" t="n"/>
      <c r="C22" s="10" t="n">
        <v>46213</v>
      </c>
      <c r="D22" s="5" t="n"/>
      <c r="E22" s="3" t="inlineStr">
        <is>
          <t>https://www.youtube.com/watch?v=OzqupDTHzKY</t>
        </is>
      </c>
    </row>
    <row r="23">
      <c r="A23" s="2" t="inlineStr">
        <is>
          <t>The Statement | A Kehelmala Short</t>
        </is>
      </c>
      <c r="B23" s="3" t="n"/>
      <c r="C23" s="10" t="n">
        <v>46206</v>
      </c>
      <c r="D23" s="5" t="n"/>
      <c r="E23" s="3" t="inlineStr">
        <is>
          <t>https://www.youtube.com/watch?v=0fb8WusWAE8</t>
        </is>
      </c>
    </row>
    <row r="24">
      <c r="A24" s="2" t="inlineStr">
        <is>
          <t>Cards | A Kehelmala Short</t>
        </is>
      </c>
      <c r="B24" s="3" t="n"/>
      <c r="C24" s="10" t="n">
        <v>46199</v>
      </c>
      <c r="D24" s="5" t="n"/>
      <c r="E24" s="3" t="inlineStr">
        <is>
          <t>https://www.youtube.com/watch?v=4G-3_S0xa6E</t>
        </is>
      </c>
    </row>
    <row r="25">
      <c r="A25" s="2" t="inlineStr">
        <is>
          <t>Braids | A Kehelmala Short</t>
        </is>
      </c>
      <c r="B25" s="3" t="n"/>
      <c r="C25" s="10" t="n">
        <v>46192</v>
      </c>
      <c r="D25" s="5" t="n"/>
      <c r="E25" s="3" t="inlineStr">
        <is>
          <t>https://www.youtube.com/watch?v=7ec_SAu2-Js</t>
        </is>
      </c>
    </row>
    <row r="26">
      <c r="A26" s="2" t="inlineStr">
        <is>
          <t>Fit On | A Kehelmala Short</t>
        </is>
      </c>
      <c r="B26" s="3" t="n"/>
      <c r="C26" s="10" t="n">
        <v>46185</v>
      </c>
      <c r="D26" s="5" t="n"/>
      <c r="E26" s="3" t="inlineStr">
        <is>
          <t>https://www.youtube.com/watch?v=yoWTN9Ud8SQ</t>
        </is>
      </c>
    </row>
    <row r="27">
      <c r="A27" s="2" t="inlineStr">
        <is>
          <t>Toxic | A Kehelmala Short</t>
        </is>
      </c>
      <c r="B27" s="3" t="n"/>
      <c r="C27" s="10" t="n">
        <v>46178</v>
      </c>
      <c r="D27" s="5" t="n"/>
      <c r="E27" s="3" t="inlineStr">
        <is>
          <t>https://www.youtube.com/watch?v=kPjF23DxXI0</t>
        </is>
      </c>
    </row>
    <row r="28">
      <c r="A28" s="2" t="inlineStr">
        <is>
          <t>Fleeting | A Kehelmala Short</t>
        </is>
      </c>
      <c r="B28" s="3" t="n"/>
      <c r="C28" s="10" t="n">
        <v>46171</v>
      </c>
      <c r="D28" s="5" t="n"/>
      <c r="E28" s="3" t="inlineStr">
        <is>
          <t>https://www.youtube.com/watch?v=pnN6dEUsEoQ</t>
        </is>
      </c>
    </row>
    <row r="29">
      <c r="A29" s="2" t="inlineStr">
        <is>
          <t>Lantern</t>
        </is>
      </c>
      <c r="B29" s="3" t="n"/>
      <c r="C29" s="10" t="n">
        <v>46167</v>
      </c>
      <c r="D29" s="5" t="n"/>
      <c r="E29" s="3" t="inlineStr">
        <is>
          <t>https://www.youtube.com/watch?v=piRznLbX7NU</t>
        </is>
      </c>
    </row>
    <row r="30">
      <c r="A30" s="2" t="inlineStr">
        <is>
          <t>Dodol | A Kehelmala Short</t>
        </is>
      </c>
      <c r="B30" s="3" t="n"/>
      <c r="C30" s="10" t="n">
        <v>46164</v>
      </c>
      <c r="D30" s="5" t="n"/>
      <c r="E30" s="3" t="inlineStr">
        <is>
          <t>https://www.youtube.com/watch?v=i4qp5tkM4Fo</t>
        </is>
      </c>
    </row>
    <row r="31">
      <c r="A31" s="2" t="inlineStr">
        <is>
          <t>The Bungalow | A Kehelmala Animated Short Film</t>
        </is>
      </c>
      <c r="B31" s="3" t="n"/>
      <c r="C31" s="10" t="n">
        <v>46157</v>
      </c>
      <c r="D31" s="5" t="n"/>
      <c r="E31" s="3" t="inlineStr">
        <is>
          <t>https://www.youtube.com/watch?v=oILdWIfY0h0</t>
        </is>
      </c>
    </row>
    <row r="32">
      <c r="A32" s="2" t="inlineStr">
        <is>
          <t>Voice Note  | A Kehelmala Short</t>
        </is>
      </c>
      <c r="B32" s="3" t="n"/>
      <c r="C32" s="10" t="n">
        <v>46150</v>
      </c>
      <c r="D32" s="5" t="n"/>
      <c r="E32" s="3" t="inlineStr">
        <is>
          <t>https://www.youtube.com/watch?v=riarzQ34SXM</t>
        </is>
      </c>
    </row>
    <row r="33">
      <c r="A33" s="2" t="inlineStr">
        <is>
          <t>Back To Work  | A Kehelmala Short</t>
        </is>
      </c>
      <c r="B33" s="3" t="n"/>
      <c r="C33" s="10" t="n">
        <v>46142</v>
      </c>
      <c r="D33" s="5" t="n"/>
      <c r="E33" s="3" t="inlineStr">
        <is>
          <t>https://www.youtube.com/watch?v=BWJCP9b5XXg</t>
        </is>
      </c>
    </row>
    <row r="34">
      <c r="A34" s="2" t="inlineStr">
        <is>
          <t>Neighbours</t>
        </is>
      </c>
      <c r="B34" s="3" t="n"/>
      <c r="C34" s="10" t="n">
        <v>46139</v>
      </c>
      <c r="D34" s="5" t="n"/>
      <c r="E34" s="3" t="inlineStr">
        <is>
          <t>https://www.youtube.com/watch?v=Nb0GO-6M9l4</t>
        </is>
      </c>
    </row>
    <row r="35">
      <c r="A35" s="2" t="inlineStr">
        <is>
          <t>Neighbours  | A Kehelmala Short</t>
        </is>
      </c>
      <c r="B35" s="3" t="n"/>
      <c r="C35" s="10" t="n">
        <v>46136</v>
      </c>
      <c r="D35" s="5" t="n"/>
      <c r="E35" s="3" t="inlineStr">
        <is>
          <t>https://www.youtube.com/watch?v=0ARfffcK6vQ</t>
        </is>
      </c>
    </row>
    <row r="36">
      <c r="A36" s="2" t="inlineStr">
        <is>
          <t>Thorn Bush | A Kehelmala Short</t>
        </is>
      </c>
      <c r="B36" s="3" t="n"/>
      <c r="C36" s="10" t="n">
        <v>46129</v>
      </c>
      <c r="D36" s="5" t="n"/>
      <c r="E36" s="3" t="inlineStr">
        <is>
          <t>https://www.youtube.com/watch?v=QlzOpLNdJ-o</t>
        </is>
      </c>
    </row>
    <row r="37">
      <c r="A37" s="2" t="inlineStr">
        <is>
          <t>Pani Walalu</t>
        </is>
      </c>
      <c r="B37" s="3" t="n"/>
      <c r="C37" s="10" t="n">
        <v>46125</v>
      </c>
      <c r="D37" s="5" t="n"/>
      <c r="E37" s="3" t="inlineStr">
        <is>
          <t>https://www.youtube.com/watch?v=SBAvUqcZE0I</t>
        </is>
      </c>
    </row>
    <row r="38">
      <c r="A38" s="2" t="inlineStr">
        <is>
          <t>Pani Walalu | A Kehelmala Short</t>
        </is>
      </c>
      <c r="B38" s="3" t="n"/>
      <c r="C38" s="10" t="n">
        <v>46122</v>
      </c>
      <c r="D38" s="5" t="n"/>
      <c r="E38" s="3" t="inlineStr">
        <is>
          <t>https://www.youtube.com/watch?v=8-BqQ1lvQys</t>
        </is>
      </c>
    </row>
    <row r="39">
      <c r="A39" s="2" t="inlineStr">
        <is>
          <t>Worsties | A Kehelmala Short</t>
        </is>
      </c>
      <c r="B39" s="3" t="n"/>
      <c r="C39" s="10" t="n">
        <v>46115</v>
      </c>
      <c r="D39" s="5" t="n"/>
      <c r="E39" s="3" t="inlineStr">
        <is>
          <t>https://www.youtube.com/watch?v=SPlmkNt6Uks</t>
        </is>
      </c>
    </row>
    <row r="40">
      <c r="A40" s="2" t="inlineStr">
        <is>
          <t>Flying Visit | A Kehelmala Short</t>
        </is>
      </c>
      <c r="B40" s="3" t="n"/>
      <c r="C40" s="10" t="n">
        <v>46108</v>
      </c>
      <c r="D40" s="5" t="n"/>
      <c r="E40" s="3" t="inlineStr">
        <is>
          <t>https://www.youtube.com/watch?v=2FozUnAIL0A</t>
        </is>
      </c>
    </row>
    <row r="41">
      <c r="A41" s="2" t="inlineStr">
        <is>
          <t>Morning After | A Kehelmala Short</t>
        </is>
      </c>
      <c r="B41" s="3" t="n"/>
      <c r="C41" s="10" t="n">
        <v>46101</v>
      </c>
      <c r="D41" s="5" t="n"/>
      <c r="E41" s="3" t="inlineStr">
        <is>
          <t>https://www.youtube.com/watch?v=5NHfd3RtZBs</t>
        </is>
      </c>
    </row>
    <row r="42">
      <c r="A42" s="2" t="inlineStr">
        <is>
          <t>Screwdriver | A Kehelmala Short Film</t>
        </is>
      </c>
      <c r="B42" s="3" t="n"/>
      <c r="C42" s="10" t="n">
        <v>46094</v>
      </c>
      <c r="D42" s="5" t="n"/>
      <c r="E42" s="3" t="inlineStr">
        <is>
          <t>https://www.youtube.com/watch?v=vd-bZRa32yY</t>
        </is>
      </c>
    </row>
    <row r="43">
      <c r="A43" s="2" t="inlineStr">
        <is>
          <t>Approval | A Kehelmala Short</t>
        </is>
      </c>
      <c r="B43" s="3" t="n"/>
      <c r="C43" s="10" t="n">
        <v>46087</v>
      </c>
      <c r="D43" s="5" t="n"/>
      <c r="E43" s="3" t="inlineStr">
        <is>
          <t>https://www.youtube.com/watch?v=qmToU4Zi8CI</t>
        </is>
      </c>
    </row>
    <row r="44">
      <c r="A44" s="2" t="inlineStr">
        <is>
          <t>Misfire | A Kehelmala Short</t>
        </is>
      </c>
      <c r="B44" s="3" t="n"/>
      <c r="C44" s="10" t="n">
        <v>46080</v>
      </c>
      <c r="D44" s="5" t="n"/>
      <c r="E44" s="3" t="inlineStr">
        <is>
          <t>https://www.youtube.com/watch?v=Ema-Xi8aoNU</t>
        </is>
      </c>
    </row>
    <row r="45">
      <c r="A45" s="2" t="inlineStr">
        <is>
          <t>45 Minutes | A Kehelmala Short</t>
        </is>
      </c>
      <c r="B45" s="3" t="n"/>
      <c r="C45" s="10" t="n">
        <v>46073</v>
      </c>
      <c r="D45" s="5" t="n"/>
      <c r="E45" s="3" t="inlineStr">
        <is>
          <t>https://www.youtube.com/watch?v=WvHJmnGZHso</t>
        </is>
      </c>
    </row>
    <row r="46">
      <c r="A46" s="2" t="inlineStr">
        <is>
          <t>Marble</t>
        </is>
      </c>
      <c r="B46" s="3" t="n"/>
      <c r="C46" s="10" t="n">
        <v>46069</v>
      </c>
      <c r="D46" s="5" t="n"/>
      <c r="E46" s="3" t="inlineStr">
        <is>
          <t>https://www.youtube.com/watch?v=UDh7Utx1gCo</t>
        </is>
      </c>
    </row>
    <row r="47">
      <c r="A47" s="2" t="inlineStr">
        <is>
          <t>You And I</t>
        </is>
      </c>
      <c r="B47" s="3" t="n"/>
      <c r="C47" s="10" t="n">
        <v>46066</v>
      </c>
      <c r="D47" s="5" t="n"/>
      <c r="E47" s="3" t="inlineStr">
        <is>
          <t>https://www.youtube.com/watch?v=BgDDrx7zTmE</t>
        </is>
      </c>
    </row>
    <row r="48">
      <c r="A48" s="2" t="inlineStr">
        <is>
          <t>You And I | A Kehelmala Short</t>
        </is>
      </c>
      <c r="B48" s="3" t="n"/>
      <c r="C48" s="10" t="n">
        <v>46066</v>
      </c>
      <c r="D48" s="5" t="n"/>
      <c r="E48" s="3" t="inlineStr">
        <is>
          <t>https://www.youtube.com/watch?v=gfsFfqhW3o8</t>
        </is>
      </c>
    </row>
    <row r="49">
      <c r="A49" s="2" t="inlineStr">
        <is>
          <t>In Charge | A Kehelmala Short Film</t>
        </is>
      </c>
      <c r="B49" s="3" t="n"/>
      <c r="C49" s="10" t="n">
        <v>46059</v>
      </c>
      <c r="D49" s="5" t="n"/>
      <c r="E49" s="3" t="inlineStr">
        <is>
          <t>https://www.youtube.com/watch?v=WGsDxdXDlOs</t>
        </is>
      </c>
    </row>
    <row r="50">
      <c r="A50" s="2" t="inlineStr">
        <is>
          <t>Breakdown</t>
        </is>
      </c>
      <c r="B50" s="3" t="n"/>
      <c r="C50" s="10" t="n">
        <v>46052</v>
      </c>
      <c r="D50" s="5" t="n"/>
      <c r="E50" s="3" t="inlineStr">
        <is>
          <t>https://www.youtube.com/watch?v=lnV1QCNwcig</t>
        </is>
      </c>
    </row>
    <row r="51">
      <c r="A51" s="2" t="inlineStr">
        <is>
          <t>Breakdown | A Kehelmala Short</t>
        </is>
      </c>
      <c r="B51" s="3" t="n"/>
      <c r="C51" s="10" t="n">
        <v>46052</v>
      </c>
      <c r="D51" s="5" t="n"/>
      <c r="E51" s="3" t="inlineStr">
        <is>
          <t>https://www.youtube.com/watch?v=J7M7G0DwXOE</t>
        </is>
      </c>
    </row>
    <row r="52">
      <c r="A52" s="2" t="inlineStr">
        <is>
          <t>Siblings</t>
        </is>
      </c>
      <c r="B52" s="3" t="n"/>
      <c r="C52" s="10" t="n">
        <v>46048</v>
      </c>
      <c r="D52" s="5" t="n"/>
      <c r="E52" s="3" t="inlineStr">
        <is>
          <t>https://www.youtube.com/watch?v=oobiuR9yAKE</t>
        </is>
      </c>
    </row>
    <row r="53">
      <c r="A53" s="2" t="inlineStr">
        <is>
          <t>Embers | A Kehelmala Short</t>
        </is>
      </c>
      <c r="B53" s="3" t="n"/>
      <c r="C53" s="10" t="n">
        <v>46045</v>
      </c>
      <c r="D53" s="5" t="n"/>
      <c r="E53" s="3" t="inlineStr">
        <is>
          <t>https://www.youtube.com/watch?v=r2xrR2OEH6Q</t>
        </is>
      </c>
    </row>
    <row r="54">
      <c r="A54" s="2" t="inlineStr">
        <is>
          <t>Sneaking In, pt. 2</t>
        </is>
      </c>
      <c r="B54" s="3" t="n"/>
      <c r="C54" s="10" t="n">
        <v>46039</v>
      </c>
      <c r="D54" s="5" t="n"/>
      <c r="E54" s="3" t="inlineStr">
        <is>
          <t>https://www.youtube.com/watch?v=ao94jY-Fpx4</t>
        </is>
      </c>
    </row>
    <row r="55">
      <c r="A55" s="2" t="inlineStr">
        <is>
          <t>Sneaking In, Pt. 1</t>
        </is>
      </c>
      <c r="B55" s="3" t="n"/>
      <c r="C55" s="10" t="n">
        <v>46038</v>
      </c>
      <c r="D55" s="5" t="n"/>
      <c r="E55" s="3" t="inlineStr">
        <is>
          <t>https://www.youtube.com/watch?v=dT0zUojcyAA</t>
        </is>
      </c>
    </row>
    <row r="56">
      <c r="A56" s="2" t="inlineStr">
        <is>
          <t>Kolam | A Kehelmala Short</t>
        </is>
      </c>
      <c r="B56" s="3" t="n"/>
      <c r="C56" s="10" t="n">
        <v>46037</v>
      </c>
      <c r="D56" s="5" t="n"/>
      <c r="E56" s="3" t="inlineStr">
        <is>
          <t>https://www.youtube.com/watch?v=Eo8rWy4epyA</t>
        </is>
      </c>
    </row>
    <row r="57">
      <c r="A57" s="2" t="inlineStr">
        <is>
          <t>Caught in the Act</t>
        </is>
      </c>
      <c r="B57" s="3" t="n"/>
      <c r="C57" s="10" t="n">
        <v>46034</v>
      </c>
      <c r="D57" s="5" t="n"/>
      <c r="E57" s="3" t="inlineStr">
        <is>
          <t>https://www.youtube.com/watch?v=3HrENukNcEA</t>
        </is>
      </c>
    </row>
    <row r="58">
      <c r="A58" s="2" t="inlineStr">
        <is>
          <t>Marble | A Kehelmala Short</t>
        </is>
      </c>
      <c r="B58" s="3" t="n"/>
      <c r="C58" s="10" t="n">
        <v>46031</v>
      </c>
      <c r="D58" s="5" t="n"/>
      <c r="E58" s="3" t="inlineStr">
        <is>
          <t>https://www.youtube.com/watch?v=5fztEmSr3hM</t>
        </is>
      </c>
    </row>
    <row r="59">
      <c r="A59" s="2" t="inlineStr">
        <is>
          <t>Giddy Up!</t>
        </is>
      </c>
      <c r="B59" s="3" t="n"/>
      <c r="C59" s="10" t="n">
        <v>46027</v>
      </c>
      <c r="D59" s="5" t="n"/>
      <c r="E59" s="3" t="inlineStr">
        <is>
          <t>https://www.youtube.com/watch?v=1BLEYDZqsjc</t>
        </is>
      </c>
    </row>
    <row r="60">
      <c r="A60" s="2" t="inlineStr">
        <is>
          <t>Besties | A Kehelmala Short Film</t>
        </is>
      </c>
      <c r="B60" s="3" t="n"/>
      <c r="C60" s="10" t="n">
        <v>46023</v>
      </c>
      <c r="D60" s="5" t="n"/>
      <c r="E60" s="3" t="inlineStr">
        <is>
          <t>https://www.youtube.com/watch?v=mG3G8cgt-P4</t>
        </is>
      </c>
    </row>
    <row r="61">
      <c r="A61" s="2" t="inlineStr">
        <is>
          <t>The Artiste</t>
        </is>
      </c>
      <c r="B61" s="3" t="n"/>
      <c r="C61" s="10" t="n">
        <v>46020</v>
      </c>
      <c r="D61" s="5" t="n"/>
      <c r="E61" s="3" t="inlineStr">
        <is>
          <t>https://www.youtube.com/watch?v=yqSxcVZAsuo</t>
        </is>
      </c>
    </row>
    <row r="62">
      <c r="A62" s="2" t="inlineStr">
        <is>
          <t>Christmas Kiribath | A Kehelmala Short</t>
        </is>
      </c>
      <c r="B62" s="3" t="n"/>
      <c r="C62" s="10" t="n">
        <v>46015</v>
      </c>
      <c r="D62" s="5" t="n"/>
      <c r="E62" s="3" t="inlineStr">
        <is>
          <t>https://www.youtube.com/watch?v=i1D0wyY2cUM</t>
        </is>
      </c>
    </row>
    <row r="63">
      <c r="A63" s="2" t="inlineStr">
        <is>
          <t>Fridge</t>
        </is>
      </c>
      <c r="B63" s="3" t="n"/>
      <c r="C63" s="10" t="n">
        <v>46014</v>
      </c>
      <c r="D63" s="5" t="n"/>
      <c r="E63" s="3" t="inlineStr">
        <is>
          <t>https://www.youtube.com/watch?v=7aWXLqS1xBc</t>
        </is>
      </c>
    </row>
    <row r="64">
      <c r="A64" s="2" t="inlineStr">
        <is>
          <t>Day Out | A Kehelmala Short</t>
        </is>
      </c>
      <c r="B64" s="3" t="n"/>
      <c r="C64" s="10" t="n">
        <v>46010</v>
      </c>
      <c r="D64" s="5" t="n"/>
      <c r="E64" s="3" t="inlineStr">
        <is>
          <t>https://www.youtube.com/watch?v=dNhEe7LuOGQ</t>
        </is>
      </c>
    </row>
    <row r="65">
      <c r="A65" s="2" t="inlineStr">
        <is>
          <t>Memorise | A Kehelmala Short</t>
        </is>
      </c>
      <c r="B65" s="3" t="n"/>
      <c r="C65" s="10" t="n">
        <v>46003</v>
      </c>
      <c r="D65" s="5" t="n"/>
      <c r="E65" s="3" t="inlineStr">
        <is>
          <t>https://www.youtube.com/watch?v=NN_AYJQ2YhU</t>
        </is>
      </c>
    </row>
    <row r="66">
      <c r="A66" s="2" t="inlineStr">
        <is>
          <t>Blanket | A Kehelmala Short</t>
        </is>
      </c>
      <c r="B66" s="3" t="n"/>
      <c r="C66" s="10" t="n">
        <v>45996</v>
      </c>
      <c r="D66" s="5" t="n"/>
      <c r="E66" s="3" t="inlineStr">
        <is>
          <t>https://www.youtube.com/watch?v=Hth84PJuK8A</t>
        </is>
      </c>
    </row>
    <row r="67">
      <c r="A67" s="2" t="inlineStr">
        <is>
          <t>Eat! | A Kehelmala Short</t>
        </is>
      </c>
      <c r="B67" s="3" t="n"/>
      <c r="C67" s="10" t="n">
        <v>45989</v>
      </c>
      <c r="D67" s="5" t="n"/>
      <c r="E67" s="3" t="inlineStr">
        <is>
          <t>https://www.youtube.com/watch?v=AAHUJX3rk6I</t>
        </is>
      </c>
    </row>
    <row r="68">
      <c r="A68" s="2" t="inlineStr">
        <is>
          <t>The Miracle</t>
        </is>
      </c>
      <c r="B68" s="3" t="n"/>
      <c r="C68" s="10" t="n">
        <v>45985</v>
      </c>
      <c r="D68" s="5" t="n"/>
      <c r="E68" s="3" t="inlineStr">
        <is>
          <t>https://www.youtube.com/watch?v=pxzSzTB4n9M</t>
        </is>
      </c>
    </row>
    <row r="69">
      <c r="A69" s="2" t="inlineStr">
        <is>
          <t>Date Night | A Kehelmala Short</t>
        </is>
      </c>
      <c r="B69" s="3" t="n"/>
      <c r="C69" s="10" t="n">
        <v>45982</v>
      </c>
      <c r="D69" s="5" t="n"/>
      <c r="E69" s="3" t="inlineStr">
        <is>
          <t>https://www.youtube.com/watch?v=Qokuxm_8sDM</t>
        </is>
      </c>
    </row>
    <row r="70">
      <c r="A70" s="2" t="inlineStr">
        <is>
          <t>The Farewell</t>
        </is>
      </c>
      <c r="B70" s="3" t="n"/>
      <c r="C70" s="10" t="n">
        <v>45979</v>
      </c>
      <c r="D70" s="5" t="n"/>
      <c r="E70" s="3" t="inlineStr">
        <is>
          <t>https://www.youtube.com/watch?v=gN6_EQ1bSik</t>
        </is>
      </c>
    </row>
    <row r="71">
      <c r="A71" s="2" t="inlineStr">
        <is>
          <t>Fridge | A Kehelmala Short</t>
        </is>
      </c>
      <c r="B71" s="3" t="n"/>
      <c r="C71" s="10" t="n">
        <v>45975</v>
      </c>
      <c r="D71" s="5" t="n"/>
      <c r="E71" s="3" t="inlineStr">
        <is>
          <t>https://www.youtube.com/watch?v=_rFj8AK2_Rk</t>
        </is>
      </c>
    </row>
    <row r="72">
      <c r="A72" s="2" t="inlineStr">
        <is>
          <t>Gift Box, Pt 2</t>
        </is>
      </c>
      <c r="B72" s="3" t="n"/>
      <c r="C72" s="10" t="n">
        <v>45973</v>
      </c>
      <c r="D72" s="5" t="n"/>
      <c r="E72" s="3" t="inlineStr">
        <is>
          <t>https://www.youtube.com/watch?v=bKqP3aW5sjo</t>
        </is>
      </c>
    </row>
    <row r="73">
      <c r="A73" s="2" t="inlineStr">
        <is>
          <t>Gift Box, Pt 1</t>
        </is>
      </c>
      <c r="B73" s="3" t="n"/>
      <c r="C73" s="10" t="n">
        <v>45971</v>
      </c>
      <c r="D73" s="5" t="n"/>
      <c r="E73" s="3" t="inlineStr">
        <is>
          <t>https://www.youtube.com/watch?v=Z8u5jYI8dK0</t>
        </is>
      </c>
    </row>
    <row r="74">
      <c r="A74" s="2" t="inlineStr">
        <is>
          <t>Siblings | A Kehelmala Short</t>
        </is>
      </c>
      <c r="B74" s="3" t="n"/>
      <c r="C74" s="10" t="n">
        <v>45968</v>
      </c>
      <c r="D74" s="5" t="n"/>
      <c r="E74" s="3" t="inlineStr">
        <is>
          <t>https://www.youtube.com/watch?v=7vQnRaB0b5c</t>
        </is>
      </c>
    </row>
    <row r="75">
      <c r="A75" s="2" t="inlineStr">
        <is>
          <t>Bro!</t>
        </is>
      </c>
      <c r="B75" s="3" t="n"/>
      <c r="C75" s="10" t="n">
        <v>45964</v>
      </c>
      <c r="D75" s="5" t="n"/>
      <c r="E75" s="3" t="inlineStr">
        <is>
          <t>https://www.youtube.com/watch?v=0qCFDtgYUI8</t>
        </is>
      </c>
    </row>
    <row r="76">
      <c r="A76" s="2" t="inlineStr">
        <is>
          <t>Pinipa! | A Kehelmala Short</t>
        </is>
      </c>
      <c r="B76" s="3" t="n"/>
      <c r="C76" s="10" t="n">
        <v>45961</v>
      </c>
      <c r="D76" s="5" t="n"/>
      <c r="E76" s="3" t="inlineStr">
        <is>
          <t>https://www.youtube.com/watch?v=_TFswkXklpQ</t>
        </is>
      </c>
    </row>
    <row r="77">
      <c r="A77" s="2" t="inlineStr">
        <is>
          <t>Graduation</t>
        </is>
      </c>
      <c r="B77" s="3" t="n"/>
      <c r="C77" s="10" t="n">
        <v>45957</v>
      </c>
      <c r="D77" s="5" t="n"/>
      <c r="E77" s="3" t="inlineStr">
        <is>
          <t>https://www.youtube.com/watch?v=fC36tKy3LdM</t>
        </is>
      </c>
    </row>
    <row r="78">
      <c r="A78" s="2" t="inlineStr">
        <is>
          <t>The Interview | A Kehelmala Short</t>
        </is>
      </c>
      <c r="B78" s="3" t="n"/>
      <c r="C78" s="10" t="n">
        <v>45954</v>
      </c>
      <c r="D78" s="5" t="n"/>
      <c r="E78" s="3" t="inlineStr">
        <is>
          <t>https://www.youtube.com/watch?v=6wIicQN-ePM</t>
        </is>
      </c>
    </row>
    <row r="79">
      <c r="A79" s="2" t="inlineStr">
        <is>
          <t>Miss</t>
        </is>
      </c>
      <c r="B79" s="3" t="n"/>
      <c r="C79" s="10" t="n">
        <v>45951</v>
      </c>
      <c r="D79" s="5" t="n"/>
      <c r="E79" s="3" t="inlineStr">
        <is>
          <t>https://www.youtube.com/watch?v=fFzt_MZ2zhE</t>
        </is>
      </c>
    </row>
    <row r="80">
      <c r="A80" s="2" t="inlineStr">
        <is>
          <t>A Special Day | A Kehelmala Short</t>
        </is>
      </c>
      <c r="B80" s="3" t="n"/>
      <c r="C80" s="10" t="n">
        <v>45947</v>
      </c>
      <c r="D80" s="5" t="n"/>
      <c r="E80" s="3" t="inlineStr">
        <is>
          <t>https://www.youtube.com/watch?v=C5ON9MynOiU</t>
        </is>
      </c>
    </row>
    <row r="81">
      <c r="A81" s="2" t="inlineStr">
        <is>
          <t>Gift</t>
        </is>
      </c>
      <c r="B81" s="3" t="n"/>
      <c r="C81" s="10" t="n">
        <v>45943</v>
      </c>
      <c r="D81" s="5" t="n"/>
      <c r="E81" s="3" t="inlineStr">
        <is>
          <t>https://www.youtube.com/watch?v=9L396IAYluQ</t>
        </is>
      </c>
    </row>
    <row r="82">
      <c r="A82" s="2" t="inlineStr">
        <is>
          <t>Sneaking In | A Kehelmala Short</t>
        </is>
      </c>
      <c r="B82" s="3" t="n"/>
      <c r="C82" s="10" t="n">
        <v>45940</v>
      </c>
      <c r="D82" s="5" t="n"/>
      <c r="E82" s="3" t="inlineStr">
        <is>
          <t>https://www.youtube.com/watch?v=fzKEH70r5zE</t>
        </is>
      </c>
    </row>
    <row r="83">
      <c r="A83" s="2" t="inlineStr">
        <is>
          <t>Remains</t>
        </is>
      </c>
      <c r="B83" s="3" t="n"/>
      <c r="C83" s="10" t="n">
        <v>45936</v>
      </c>
      <c r="D83" s="5" t="n"/>
      <c r="E83" s="3" t="inlineStr">
        <is>
          <t>https://www.youtube.com/watch?v=W-SnG21a0uQ</t>
        </is>
      </c>
    </row>
    <row r="84">
      <c r="A84" s="2" t="inlineStr">
        <is>
          <t>The Fit | A Kehelmala Short</t>
        </is>
      </c>
      <c r="B84" s="3" t="n"/>
      <c r="C84" s="10" t="n">
        <v>45934</v>
      </c>
      <c r="D84" s="5" t="n"/>
      <c r="E84" s="3" t="inlineStr">
        <is>
          <t>https://www.youtube.com/watch?v=SXXkCW4mlGA</t>
        </is>
      </c>
    </row>
    <row r="85">
      <c r="A85" s="2" t="inlineStr">
        <is>
          <t>Breakup</t>
        </is>
      </c>
      <c r="B85" s="3" t="n"/>
      <c r="C85" s="10" t="n">
        <v>45929</v>
      </c>
      <c r="D85" s="5" t="n"/>
      <c r="E85" s="3" t="inlineStr">
        <is>
          <t>https://www.youtube.com/watch?v=I_A4J7s05A4</t>
        </is>
      </c>
    </row>
    <row r="86">
      <c r="A86" s="2" t="inlineStr">
        <is>
          <t>Visitor</t>
        </is>
      </c>
      <c r="B86" s="3" t="n"/>
      <c r="C86" s="10" t="n">
        <v>45927</v>
      </c>
      <c r="D86" s="5" t="n"/>
      <c r="E86" s="3" t="inlineStr">
        <is>
          <t>https://www.youtube.com/watch?v=NNQ1-mpjdKE</t>
        </is>
      </c>
    </row>
    <row r="87">
      <c r="A87" s="2" t="inlineStr">
        <is>
          <t>Visitor | A Kehelmala Short</t>
        </is>
      </c>
      <c r="B87" s="3" t="n"/>
      <c r="C87" s="10" t="n">
        <v>45926</v>
      </c>
      <c r="D87" s="5" t="n"/>
      <c r="E87" s="3" t="inlineStr">
        <is>
          <t>https://www.youtube.com/watch?v=JQmaV-i4W7M</t>
        </is>
      </c>
    </row>
    <row r="88">
      <c r="A88" s="2" t="inlineStr">
        <is>
          <t>The Room</t>
        </is>
      </c>
      <c r="B88" s="3" t="n"/>
      <c r="C88" s="10" t="n">
        <v>45922</v>
      </c>
      <c r="D88" s="5" t="n"/>
      <c r="E88" s="3" t="inlineStr">
        <is>
          <t>https://www.youtube.com/watch?v=yeU04ROI2w0</t>
        </is>
      </c>
    </row>
    <row r="89">
      <c r="A89" s="2" t="inlineStr">
        <is>
          <t>The Room | A Kehelmala Short</t>
        </is>
      </c>
      <c r="B89" s="3" t="n"/>
      <c r="C89" s="10" t="n">
        <v>45919</v>
      </c>
      <c r="D89" s="5" t="n"/>
      <c r="E89" s="3" t="inlineStr">
        <is>
          <t>https://www.youtube.com/watch?v=GgLb9OolTiU</t>
        </is>
      </c>
    </row>
    <row r="90">
      <c r="A90" s="2" t="inlineStr">
        <is>
          <t>Catfight | A Kehelmala Short</t>
        </is>
      </c>
      <c r="B90" s="3" t="n"/>
      <c r="C90" s="10" t="n">
        <v>45912</v>
      </c>
      <c r="D90" s="5" t="n"/>
      <c r="E90" s="3" t="inlineStr">
        <is>
          <t>https://www.youtube.com/watch?v=7IBaKGO-yJc</t>
        </is>
      </c>
    </row>
    <row r="91">
      <c r="A91" s="2" t="inlineStr">
        <is>
          <t>Catfight</t>
        </is>
      </c>
      <c r="B91" s="3" t="n"/>
      <c r="C91" s="10" t="n">
        <v>45912</v>
      </c>
      <c r="D91" s="5" t="n"/>
      <c r="E91" s="3" t="inlineStr">
        <is>
          <t>https://www.youtube.com/watch?v=xaJQuWZLp20</t>
        </is>
      </c>
    </row>
    <row r="92">
      <c r="A92" s="2" t="inlineStr">
        <is>
          <t>New Boy</t>
        </is>
      </c>
      <c r="B92" s="3" t="n"/>
      <c r="C92" s="10" t="n">
        <v>45904</v>
      </c>
      <c r="D92" s="5" t="n"/>
      <c r="E92" s="3" t="inlineStr">
        <is>
          <t>https://www.youtube.com/watch?v=ILxiyS6hXsI</t>
        </is>
      </c>
    </row>
    <row r="93">
      <c r="A93" s="2" t="inlineStr">
        <is>
          <t>Lunchtime | A Kehelmala Short</t>
        </is>
      </c>
      <c r="B93" s="3" t="n"/>
      <c r="C93" s="10" t="n">
        <v>45900</v>
      </c>
      <c r="D93" s="5" t="n"/>
      <c r="E93" s="3" t="inlineStr">
        <is>
          <t>https://www.youtube.com/watch?v=ZAsDP54iINA</t>
        </is>
      </c>
    </row>
    <row r="94">
      <c r="A94" s="2" t="inlineStr">
        <is>
          <t>Lunchtime | A Kehelmala Short</t>
        </is>
      </c>
      <c r="B94" s="3" t="n"/>
      <c r="C94" s="10" t="n">
        <v>45898</v>
      </c>
      <c r="D94" s="5" t="n"/>
      <c r="E94" s="3" t="inlineStr">
        <is>
          <t>https://www.youtube.com/watch?v=qZj62uNdgRA</t>
        </is>
      </c>
    </row>
    <row r="95">
      <c r="A95" s="2" t="inlineStr">
        <is>
          <t>The Fault in our Prints</t>
        </is>
      </c>
      <c r="B95" s="3" t="n"/>
      <c r="C95" s="10" t="n">
        <v>45895</v>
      </c>
      <c r="D95" s="5" t="n"/>
      <c r="E95" s="3" t="inlineStr">
        <is>
          <t>https://www.youtube.com/watch?v=62FuL9l-E-c</t>
        </is>
      </c>
    </row>
    <row r="96">
      <c r="A96" s="2" t="inlineStr">
        <is>
          <t>Spittoon | A Kehelmala Short</t>
        </is>
      </c>
      <c r="B96" s="3" t="n"/>
      <c r="C96" s="10" t="n">
        <v>45892</v>
      </c>
      <c r="D96" s="5" t="n"/>
      <c r="E96" s="3" t="inlineStr">
        <is>
          <t>https://www.youtube.com/watch?v=tWkTsSEFuO4</t>
        </is>
      </c>
    </row>
    <row r="97">
      <c r="A97" s="2" t="inlineStr">
        <is>
          <t>Spittoon</t>
        </is>
      </c>
      <c r="B97" s="3" t="n"/>
      <c r="C97" s="10" t="n">
        <v>45891</v>
      </c>
      <c r="D97" s="5" t="n"/>
      <c r="E97" s="3" t="inlineStr">
        <is>
          <t>https://www.youtube.com/watch?v=QrSsQ-MBD6k</t>
        </is>
      </c>
    </row>
    <row r="98">
      <c r="A98" s="2" t="inlineStr">
        <is>
          <t>Breakup | A Kehelmala Short</t>
        </is>
      </c>
      <c r="B98" s="3" t="n"/>
      <c r="C98" s="10" t="n">
        <v>45884</v>
      </c>
      <c r="D98" s="5" t="n"/>
      <c r="E98" s="3" t="inlineStr">
        <is>
          <t>https://www.youtube.com/watch?v=neq3JaQLsHc</t>
        </is>
      </c>
    </row>
    <row r="99">
      <c r="A99" s="2" t="inlineStr">
        <is>
          <t>Human Resources</t>
        </is>
      </c>
      <c r="B99" s="3" t="n"/>
      <c r="C99" s="10" t="n">
        <v>45880</v>
      </c>
      <c r="D99" s="5" t="n"/>
      <c r="E99" s="3" t="inlineStr">
        <is>
          <t>https://www.youtube.com/watch?v=zvjOBpSaWjk</t>
        </is>
      </c>
    </row>
    <row r="100">
      <c r="A100" s="2" t="inlineStr">
        <is>
          <t>Daylight</t>
        </is>
      </c>
      <c r="B100" s="3" t="n"/>
      <c r="C100" s="10" t="n">
        <v>45876</v>
      </c>
      <c r="D100" s="5" t="n"/>
      <c r="E100" s="3" t="inlineStr">
        <is>
          <t>https://www.youtube.com/watch?v=HiRrwtQnsNw</t>
        </is>
      </c>
    </row>
    <row r="101">
      <c r="A101" s="2" t="inlineStr">
        <is>
          <t>Daylight | A Kehelmala Short</t>
        </is>
      </c>
      <c r="B101" s="3" t="n"/>
      <c r="C101" s="10" t="n">
        <v>45876</v>
      </c>
      <c r="D101" s="5" t="n"/>
      <c r="E101" s="3" t="inlineStr">
        <is>
          <t>https://www.youtube.com/watch?v=voCMcnk64y8</t>
        </is>
      </c>
    </row>
    <row r="102">
      <c r="A102" s="2" t="inlineStr">
        <is>
          <t>Gift | A Kehelmala Short</t>
        </is>
      </c>
      <c r="B102" s="3" t="n"/>
      <c r="C102" s="10" t="n">
        <v>45870</v>
      </c>
      <c r="D102" s="5" t="n"/>
      <c r="E102" s="3" t="inlineStr">
        <is>
          <t>https://www.youtube.com/watch?v=2T_r2Up9nSk</t>
        </is>
      </c>
    </row>
    <row r="103">
      <c r="A103" s="2" t="inlineStr">
        <is>
          <t>Interrogation (Wrong Number 2)</t>
        </is>
      </c>
      <c r="B103" s="3" t="n"/>
      <c r="C103" s="10" t="n">
        <v>45866</v>
      </c>
      <c r="D103" s="5" t="n"/>
      <c r="E103" s="3" t="inlineStr">
        <is>
          <t>https://www.youtube.com/watch?v=zA_EGZgvpoA</t>
        </is>
      </c>
    </row>
    <row r="104">
      <c r="A104" s="2" t="inlineStr">
        <is>
          <t>Graduation | A Kehelmala Short</t>
        </is>
      </c>
      <c r="B104" s="3" t="n"/>
      <c r="C104" s="10" t="n">
        <v>45863</v>
      </c>
      <c r="D104" s="5" t="n"/>
      <c r="E104" s="3" t="inlineStr">
        <is>
          <t>https://www.youtube.com/watch?v=LzwM6HpIPFI</t>
        </is>
      </c>
    </row>
    <row r="105">
      <c r="A105" s="2" t="inlineStr">
        <is>
          <t>Wrong Number?</t>
        </is>
      </c>
      <c r="B105" s="3" t="n"/>
      <c r="C105" s="10" t="n">
        <v>45860</v>
      </c>
      <c r="D105" s="5" t="n"/>
      <c r="E105" s="3" t="inlineStr">
        <is>
          <t>https://www.youtube.com/watch?v=_3RQJLLPwy0</t>
        </is>
      </c>
    </row>
    <row r="106">
      <c r="A106" s="2" t="inlineStr">
        <is>
          <t>Moving Out | A Kehelmala Short</t>
        </is>
      </c>
      <c r="B106" s="3" t="n"/>
      <c r="C106" s="10" t="n">
        <v>45856</v>
      </c>
      <c r="D106" s="5" t="n"/>
      <c r="E106" s="3" t="inlineStr">
        <is>
          <t>https://www.youtube.com/watch?v=wPSXmYztLDo</t>
        </is>
      </c>
    </row>
    <row r="107">
      <c r="A107" s="2" t="inlineStr">
        <is>
          <t>The Cover Up</t>
        </is>
      </c>
      <c r="B107" s="3" t="n"/>
      <c r="C107" s="10" t="n">
        <v>45852</v>
      </c>
      <c r="D107" s="5" t="n"/>
      <c r="E107" s="3" t="inlineStr">
        <is>
          <t>https://www.youtube.com/watch?v=rW30XPm_UWo</t>
        </is>
      </c>
    </row>
    <row r="108">
      <c r="A108" s="2" t="inlineStr">
        <is>
          <t>Sambol | A Kehelmala Short</t>
        </is>
      </c>
      <c r="B108" s="3" t="n"/>
      <c r="C108" s="10" t="n">
        <v>45849</v>
      </c>
      <c r="D108" s="5" t="n"/>
      <c r="E108" s="3" t="inlineStr">
        <is>
          <t>https://www.youtube.com/watch?v=MoESShHCAe4</t>
        </is>
      </c>
    </row>
    <row r="109">
      <c r="A109" s="2" t="inlineStr">
        <is>
          <t>Gratitude</t>
        </is>
      </c>
      <c r="B109" s="3" t="n"/>
      <c r="C109" s="10" t="n">
        <v>45843</v>
      </c>
      <c r="D109" s="5" t="n"/>
      <c r="E109" s="3" t="inlineStr">
        <is>
          <t>https://www.youtube.com/watch?v=e19au2Y_sRI</t>
        </is>
      </c>
    </row>
    <row r="110">
      <c r="A110" s="2" t="inlineStr">
        <is>
          <t>Loser | A Kehelmala Short</t>
        </is>
      </c>
      <c r="B110" s="3" t="n"/>
      <c r="C110" s="10" t="n">
        <v>45842</v>
      </c>
      <c r="D110" s="5" t="n"/>
      <c r="E110" s="3" t="inlineStr">
        <is>
          <t>https://www.youtube.com/watch?v=mPLK87JG7Ww</t>
        </is>
      </c>
    </row>
    <row r="111">
      <c r="A111" s="2" t="inlineStr">
        <is>
          <t>Snake Bag</t>
        </is>
      </c>
      <c r="B111" s="3" t="n"/>
      <c r="C111" s="10" t="n">
        <v>45838</v>
      </c>
      <c r="D111" s="5" t="n"/>
      <c r="E111" s="3" t="inlineStr">
        <is>
          <t>https://www.youtube.com/watch?v=h825vwpnyqY</t>
        </is>
      </c>
    </row>
    <row r="112">
      <c r="A112" s="2" t="inlineStr">
        <is>
          <t>Dinner | A Kehelmala Short</t>
        </is>
      </c>
      <c r="B112" s="3" t="n"/>
      <c r="C112" s="10" t="n">
        <v>45835</v>
      </c>
      <c r="D112" s="5" t="n"/>
      <c r="E112" s="3" t="inlineStr">
        <is>
          <t>https://www.youtube.com/watch?v=SOcLsA78py4</t>
        </is>
      </c>
    </row>
    <row r="113">
      <c r="A113" s="2" t="inlineStr">
        <is>
          <t>Sneak!</t>
        </is>
      </c>
      <c r="B113" s="3" t="n"/>
      <c r="C113" s="10" t="n">
        <v>45831</v>
      </c>
      <c r="D113" s="5" t="n"/>
      <c r="E113" s="3" t="inlineStr">
        <is>
          <t>https://www.youtube.com/watch?v=SsligsV8cgo</t>
        </is>
      </c>
    </row>
    <row r="114">
      <c r="A114" s="2" t="inlineStr">
        <is>
          <t>Talk | A Kehelmala Short</t>
        </is>
      </c>
      <c r="B114" s="3" t="n"/>
      <c r="C114" s="10" t="n">
        <v>45828</v>
      </c>
      <c r="D114" s="5" t="n"/>
      <c r="E114" s="3" t="inlineStr">
        <is>
          <t>https://www.youtube.com/watch?v=nTNdrzP8CS0</t>
        </is>
      </c>
    </row>
    <row r="115">
      <c r="A115" s="2" t="inlineStr">
        <is>
          <t>Chocolate, final episode | A Kehelmala Short</t>
        </is>
      </c>
      <c r="B115" s="3" t="n"/>
      <c r="C115" s="10" t="n">
        <v>45825</v>
      </c>
      <c r="D115" s="5" t="n"/>
      <c r="E115" s="3" t="inlineStr">
        <is>
          <t>https://www.youtube.com/watch?v=2q-6p5zQgIY</t>
        </is>
      </c>
    </row>
    <row r="116">
      <c r="A116" s="2" t="inlineStr">
        <is>
          <t>Remains | A Kehelmala Short</t>
        </is>
      </c>
      <c r="B116" s="3" t="n"/>
      <c r="C116" s="10" t="n">
        <v>45821</v>
      </c>
      <c r="D116" s="5" t="n"/>
      <c r="E116" s="3" t="inlineStr">
        <is>
          <t>https://www.youtube.com/watch?v=pSS5j1rmZqs</t>
        </is>
      </c>
    </row>
    <row r="117">
      <c r="A117" s="2" t="inlineStr">
        <is>
          <t>Cooked</t>
        </is>
      </c>
      <c r="B117" s="3" t="n"/>
      <c r="C117" s="10" t="n">
        <v>45817</v>
      </c>
      <c r="D117" s="5" t="n"/>
      <c r="E117" s="3" t="inlineStr">
        <is>
          <t>https://www.youtube.com/watch?v=iv5CUzrzhA0</t>
        </is>
      </c>
    </row>
    <row r="118">
      <c r="A118" s="2" t="inlineStr">
        <is>
          <t>Sisters</t>
        </is>
      </c>
      <c r="B118" s="3" t="n"/>
      <c r="C118" s="10" t="n">
        <v>45815</v>
      </c>
      <c r="D118" s="5" t="n"/>
      <c r="E118" s="3" t="inlineStr">
        <is>
          <t>https://www.youtube.com/watch?v=8qLwDbhhFyg</t>
        </is>
      </c>
    </row>
    <row r="119">
      <c r="A119" s="2" t="inlineStr">
        <is>
          <t>Binge | A Kehelmala Short</t>
        </is>
      </c>
      <c r="B119" s="3" t="n"/>
      <c r="C119" s="10" t="n">
        <v>45814</v>
      </c>
      <c r="D119" s="5" t="n"/>
      <c r="E119" s="3" t="inlineStr">
        <is>
          <t>https://www.youtube.com/watch?v=JrcHgW5sAGQ</t>
        </is>
      </c>
    </row>
    <row r="120">
      <c r="A120" s="2" t="inlineStr">
        <is>
          <t>Tea Time!</t>
        </is>
      </c>
      <c r="B120" s="3" t="n"/>
      <c r="C120" s="10" t="n">
        <v>45809</v>
      </c>
      <c r="D120" s="5" t="n"/>
      <c r="E120" s="3" t="inlineStr">
        <is>
          <t>https://www.youtube.com/watch?v=wgFbT9uiyA8</t>
        </is>
      </c>
    </row>
    <row r="121">
      <c r="A121" s="2" t="inlineStr">
        <is>
          <t>Tea Time | A Kehelmala Short</t>
        </is>
      </c>
      <c r="B121" s="3" t="n"/>
      <c r="C121" s="10" t="n">
        <v>45807</v>
      </c>
      <c r="D121" s="5" t="n"/>
      <c r="E121" s="3" t="inlineStr">
        <is>
          <t>https://www.youtube.com/watch?v=7BLJzZx6wcc</t>
        </is>
      </c>
    </row>
    <row r="122">
      <c r="A122" s="2" t="inlineStr">
        <is>
          <t>Purpose | A Kehelmala Short</t>
        </is>
      </c>
      <c r="B122" s="3" t="n"/>
      <c r="C122" s="10" t="n">
        <v>45800</v>
      </c>
      <c r="D122" s="5" t="n"/>
      <c r="E122" s="3" t="inlineStr">
        <is>
          <t>https://www.youtube.com/watch?v=ahiKDKpgrns</t>
        </is>
      </c>
    </row>
    <row r="123">
      <c r="A123" s="2" t="inlineStr">
        <is>
          <t>Last Round | A Kehelmala Short</t>
        </is>
      </c>
      <c r="B123" s="3" t="n"/>
      <c r="C123" s="10" t="n">
        <v>45793</v>
      </c>
      <c r="D123" s="5" t="n"/>
      <c r="E123" s="3" t="inlineStr">
        <is>
          <t>https://www.youtube.com/watch?v=pF5apad_JIM</t>
        </is>
      </c>
    </row>
    <row r="124">
      <c r="A124" s="2" t="inlineStr">
        <is>
          <t>What’s with Su?</t>
        </is>
      </c>
      <c r="B124" s="3" t="n"/>
      <c r="C124" s="10" t="n">
        <v>45791</v>
      </c>
      <c r="D124" s="5" t="n"/>
      <c r="E124" s="3" t="inlineStr">
        <is>
          <t>https://www.youtube.com/watch?v=sXFNSSJiTIk</t>
        </is>
      </c>
    </row>
    <row r="125">
      <c r="A125" s="2" t="inlineStr">
        <is>
          <t>Lantern | A Kehelmala Short</t>
        </is>
      </c>
      <c r="B125" s="3" t="n"/>
      <c r="C125" s="10" t="n">
        <v>45786</v>
      </c>
      <c r="D125" s="5" t="n"/>
      <c r="E125" s="3" t="inlineStr">
        <is>
          <t>https://www.youtube.com/watch?v=yw24uG89uDw</t>
        </is>
      </c>
    </row>
    <row r="126">
      <c r="A126" s="2" t="inlineStr">
        <is>
          <t>Winners</t>
        </is>
      </c>
      <c r="B126" s="3" t="n"/>
      <c r="C126" s="10" t="n">
        <v>45781</v>
      </c>
      <c r="D126" s="5" t="n"/>
      <c r="E126" s="3" t="inlineStr">
        <is>
          <t>https://www.youtube.com/watch?v=xJtPcXLg1PA</t>
        </is>
      </c>
    </row>
    <row r="127">
      <c r="A127" s="2" t="inlineStr">
        <is>
          <t>Preparations | A Kehelmala Short</t>
        </is>
      </c>
      <c r="B127" s="3" t="n"/>
      <c r="C127" s="10" t="n">
        <v>45779</v>
      </c>
      <c r="D127" s="5" t="n"/>
      <c r="E127" s="3" t="inlineStr">
        <is>
          <t>https://www.youtube.com/watch?v=RO7feWGO4PM</t>
        </is>
      </c>
    </row>
    <row r="128">
      <c r="A128" s="2" t="inlineStr">
        <is>
          <t>Blessings</t>
        </is>
      </c>
      <c r="B128" s="3" t="n"/>
      <c r="C128" s="10" t="n">
        <v>45775</v>
      </c>
      <c r="D128" s="5" t="n"/>
      <c r="E128" s="3" t="inlineStr">
        <is>
          <t>https://www.youtube.com/watch?v=Vk4IXydGX04</t>
        </is>
      </c>
    </row>
    <row r="129">
      <c r="A129" s="2" t="inlineStr">
        <is>
          <t>Human Resources | A Kehelmala Short</t>
        </is>
      </c>
      <c r="B129" s="3" t="n"/>
      <c r="C129" s="10" t="n">
        <v>45772</v>
      </c>
      <c r="D129" s="5" t="n"/>
      <c r="E129" s="3" t="inlineStr">
        <is>
          <t>https://www.youtube.com/watch?v=THj3sE6hO68</t>
        </is>
      </c>
    </row>
    <row r="130">
      <c r="A130" s="2" t="inlineStr">
        <is>
          <t>Chocolate - Part 3 | A Kehelmala Short</t>
        </is>
      </c>
      <c r="B130" s="3" t="n"/>
      <c r="C130" s="10" t="n">
        <v>45770</v>
      </c>
      <c r="D130" s="5" t="n"/>
      <c r="E130" s="3" t="inlineStr">
        <is>
          <t>https://www.youtube.com/watch?v=L5GJXaCaSsY</t>
        </is>
      </c>
    </row>
    <row r="131">
      <c r="A131" s="2" t="inlineStr">
        <is>
          <t>Tastiest</t>
        </is>
      </c>
      <c r="B131" s="3" t="n"/>
      <c r="C131" s="10" t="n">
        <v>45765</v>
      </c>
      <c r="D131" s="5" t="n"/>
      <c r="E131" s="3" t="inlineStr">
        <is>
          <t>https://www.youtube.com/watch?v=Rs4Nc1YMqYs</t>
        </is>
      </c>
    </row>
    <row r="132">
      <c r="A132" s="2" t="inlineStr">
        <is>
          <t>Two Guys, One Cup</t>
        </is>
      </c>
      <c r="B132" s="3" t="n"/>
      <c r="C132" s="10" t="n">
        <v>45762</v>
      </c>
      <c r="D132" s="5" t="n"/>
      <c r="E132" s="3" t="inlineStr">
        <is>
          <t>https://www.youtube.com/watch?v=Gt6EfBUbj48</t>
        </is>
      </c>
    </row>
    <row r="133">
      <c r="A133" s="2" t="inlineStr">
        <is>
          <t>Granny, No!</t>
        </is>
      </c>
      <c r="B133" s="3" t="n"/>
      <c r="C133" s="10" t="n">
        <v>45758</v>
      </c>
      <c r="D133" s="5" t="n"/>
      <c r="E133" s="3" t="inlineStr">
        <is>
          <t>https://www.youtube.com/watch?v=rKhtcG0JaUM</t>
        </is>
      </c>
    </row>
    <row r="134">
      <c r="A134" s="2" t="inlineStr">
        <is>
          <t>Granny, no! | A Kehelmala Short</t>
        </is>
      </c>
      <c r="B134" s="3" t="n"/>
      <c r="C134" s="10" t="n">
        <v>45758</v>
      </c>
      <c r="D134" s="5" t="n"/>
      <c r="E134" s="3" t="inlineStr">
        <is>
          <t>https://www.youtube.com/watch?v=gOmotuE-6g0</t>
        </is>
      </c>
    </row>
    <row r="135">
      <c r="A135" s="2" t="inlineStr">
        <is>
          <t>The Long Goodbye</t>
        </is>
      </c>
      <c r="B135" s="3" t="n"/>
      <c r="C135" s="10" t="n">
        <v>45755</v>
      </c>
      <c r="D135" s="5" t="n"/>
      <c r="E135" s="3" t="inlineStr">
        <is>
          <t>https://www.youtube.com/watch?v=REQIVUWJIBY</t>
        </is>
      </c>
    </row>
    <row r="136">
      <c r="A136" s="2" t="inlineStr">
        <is>
          <t>Bro! | A Kehelmala Short</t>
        </is>
      </c>
      <c r="B136" s="3" t="n"/>
      <c r="C136" s="10" t="n">
        <v>45751</v>
      </c>
      <c r="D136" s="5" t="n"/>
      <c r="E136" s="3" t="inlineStr">
        <is>
          <t>https://www.youtube.com/watch?v=MCy4FjBm5OY</t>
        </is>
      </c>
    </row>
    <row r="137">
      <c r="A137" s="2" t="inlineStr">
        <is>
          <t>Wedding Cake</t>
        </is>
      </c>
      <c r="B137" s="3" t="n"/>
      <c r="C137" s="10" t="n">
        <v>45747</v>
      </c>
      <c r="D137" s="5" t="n"/>
      <c r="E137" s="3" t="inlineStr">
        <is>
          <t>https://www.youtube.com/watch?v=-6O-5wtU9Vg</t>
        </is>
      </c>
    </row>
    <row r="138">
      <c r="A138" s="2" t="inlineStr">
        <is>
          <t>Dress | A Kehelmala Short</t>
        </is>
      </c>
      <c r="B138" s="3" t="n"/>
      <c r="C138" s="10" t="n">
        <v>45744</v>
      </c>
      <c r="D138" s="5" t="n"/>
      <c r="E138" s="3" t="inlineStr">
        <is>
          <t>https://www.youtube.com/watch?v=ZNEvzB88jbw</t>
        </is>
      </c>
    </row>
    <row r="139">
      <c r="A139" s="2" t="inlineStr">
        <is>
          <t>Kalumini!</t>
        </is>
      </c>
      <c r="B139" s="3" t="n"/>
      <c r="C139" s="10" t="n">
        <v>45740</v>
      </c>
      <c r="D139" s="5" t="n"/>
      <c r="E139" s="3" t="inlineStr">
        <is>
          <t>https://www.youtube.com/watch?v=Dgu-jqXT6_o</t>
        </is>
      </c>
    </row>
    <row r="140">
      <c r="A140" s="2" t="inlineStr">
        <is>
          <t>Miss  |  A Kehelmala Short</t>
        </is>
      </c>
      <c r="B140" s="3" t="n"/>
      <c r="C140" s="10" t="n">
        <v>45737</v>
      </c>
      <c r="D140" s="5" t="n"/>
      <c r="E140" s="3" t="inlineStr">
        <is>
          <t>https://www.youtube.com/watch?v=do-ZESm909s</t>
        </is>
      </c>
    </row>
    <row r="141">
      <c r="A141" s="2" t="inlineStr">
        <is>
          <t>Chocolate - Part 2  |  A Kehelmala Short</t>
        </is>
      </c>
      <c r="B141" s="3" t="n"/>
      <c r="C141" s="10" t="n">
        <v>45734</v>
      </c>
      <c r="D141" s="5" t="n"/>
      <c r="E141" s="3" t="inlineStr">
        <is>
          <t>https://www.youtube.com/watch?v=mzUqLeKBveg</t>
        </is>
      </c>
    </row>
    <row r="142">
      <c r="A142" s="2" t="inlineStr">
        <is>
          <t>The Lion</t>
        </is>
      </c>
      <c r="B142" s="3" t="n"/>
      <c r="C142" s="10" t="n">
        <v>45731</v>
      </c>
      <c r="D142" s="5" t="n"/>
      <c r="E142" s="3" t="inlineStr">
        <is>
          <t>https://www.youtube.com/watch?v=FaqTYCaZd8E</t>
        </is>
      </c>
    </row>
    <row r="143">
      <c r="A143" s="2" t="inlineStr">
        <is>
          <t>Fated</t>
        </is>
      </c>
      <c r="B143" s="3" t="n"/>
      <c r="C143" s="10" t="n">
        <v>45731</v>
      </c>
      <c r="D143" s="5" t="n"/>
      <c r="E143" s="3" t="inlineStr">
        <is>
          <t>https://www.youtube.com/watch?v=jv1VwDFa-iw</t>
        </is>
      </c>
    </row>
    <row r="144">
      <c r="A144" s="2" t="inlineStr">
        <is>
          <t>The Artiste | A Kehelmala Short</t>
        </is>
      </c>
      <c r="B144" s="3" t="n"/>
      <c r="C144" s="10" t="n">
        <v>45729</v>
      </c>
      <c r="D144" s="5" t="n"/>
      <c r="E144" s="3" t="inlineStr">
        <is>
          <t>https://www.youtube.com/watch?v=fAPE5hedU7s</t>
        </is>
      </c>
    </row>
    <row r="145">
      <c r="A145" s="2" t="inlineStr">
        <is>
          <t>Night Shift</t>
        </is>
      </c>
      <c r="B145" s="3" t="n"/>
      <c r="C145" s="10" t="n">
        <v>45725</v>
      </c>
      <c r="D145" s="5" t="n"/>
      <c r="E145" s="3" t="inlineStr">
        <is>
          <t>https://www.youtube.com/watch?v=u0Fo0l6cczQ</t>
        </is>
      </c>
    </row>
    <row r="146">
      <c r="A146" s="2" t="inlineStr">
        <is>
          <t>Prodigy | A Kehelmala Short</t>
        </is>
      </c>
      <c r="B146" s="3" t="n"/>
      <c r="C146" s="10" t="n">
        <v>45723</v>
      </c>
      <c r="D146" s="5" t="n"/>
      <c r="E146" s="3" t="inlineStr">
        <is>
          <t>https://www.youtube.com/watch?v=l0iJ1Q2-pA4</t>
        </is>
      </c>
    </row>
    <row r="147">
      <c r="A147" s="2" t="inlineStr">
        <is>
          <t>Schooled</t>
        </is>
      </c>
      <c r="B147" s="3" t="n"/>
      <c r="C147" s="10" t="n">
        <v>45719</v>
      </c>
      <c r="D147" s="5" t="n"/>
      <c r="E147" s="3" t="inlineStr">
        <is>
          <t>https://www.youtube.com/watch?v=MSpCBHvSZ74</t>
        </is>
      </c>
    </row>
    <row r="148">
      <c r="A148" s="2" t="inlineStr">
        <is>
          <t>Separation | A Kehelmala Short</t>
        </is>
      </c>
      <c r="B148" s="3" t="n"/>
      <c r="C148" s="10" t="n">
        <v>45715</v>
      </c>
      <c r="D148" s="5" t="n"/>
      <c r="E148" s="3" t="inlineStr">
        <is>
          <t>https://www.youtube.com/watch?v=Azm8OtyO8-8</t>
        </is>
      </c>
    </row>
    <row r="149">
      <c r="A149" s="2" t="inlineStr">
        <is>
          <t>Mummy loves you</t>
        </is>
      </c>
      <c r="B149" s="3" t="n"/>
      <c r="C149" s="10" t="n">
        <v>45713</v>
      </c>
      <c r="D149" s="5" t="n"/>
      <c r="E149" s="3" t="inlineStr">
        <is>
          <t>https://www.youtube.com/watch?v=asY3Oh-H6XA</t>
        </is>
      </c>
    </row>
    <row r="150">
      <c r="A150" s="2" t="inlineStr">
        <is>
          <t>Behave!</t>
        </is>
      </c>
      <c r="B150" s="3" t="n"/>
      <c r="C150" s="10" t="n">
        <v>45710</v>
      </c>
      <c r="D150" s="5" t="n"/>
      <c r="E150" s="3" t="inlineStr">
        <is>
          <t>https://www.youtube.com/watch?v=KERym5Lr3VI</t>
        </is>
      </c>
    </row>
    <row r="151">
      <c r="A151" s="2" t="inlineStr">
        <is>
          <t>Behave! | A Kehelmala Short</t>
        </is>
      </c>
      <c r="B151" s="3" t="n"/>
      <c r="C151" s="10" t="n">
        <v>45709</v>
      </c>
      <c r="D151" s="5" t="n"/>
      <c r="E151" s="3" t="inlineStr">
        <is>
          <t>https://www.youtube.com/watch?v=InxbgPajh3k</t>
        </is>
      </c>
    </row>
    <row r="152">
      <c r="A152" s="2" t="inlineStr">
        <is>
          <t>Granny’s Story</t>
        </is>
      </c>
      <c r="B152" s="3" t="n"/>
      <c r="C152" s="10" t="n">
        <v>45707</v>
      </c>
      <c r="D152" s="5" t="n"/>
      <c r="E152" s="3" t="inlineStr">
        <is>
          <t>https://www.youtube.com/watch?v=5eZEIm5cR-4</t>
        </is>
      </c>
    </row>
    <row r="153">
      <c r="A153" s="2" t="inlineStr">
        <is>
          <t>A Fertile Mystery</t>
        </is>
      </c>
      <c r="B153" s="3" t="n"/>
      <c r="C153" s="10" t="n">
        <v>45705</v>
      </c>
      <c r="D153" s="5" t="n"/>
      <c r="E153" s="3" t="inlineStr">
        <is>
          <t>https://www.youtube.com/watch?v=ADfNVfgoR3s</t>
        </is>
      </c>
    </row>
    <row r="154">
      <c r="A154" s="2" t="inlineStr">
        <is>
          <t>The Gaze</t>
        </is>
      </c>
      <c r="B154" s="3" t="n"/>
      <c r="C154" s="10" t="n">
        <v>45702</v>
      </c>
      <c r="D154" s="5" t="n"/>
      <c r="E154" s="3" t="inlineStr">
        <is>
          <t>https://www.youtube.com/watch?v=vu5S6wfxf4E</t>
        </is>
      </c>
    </row>
    <row r="155">
      <c r="A155" s="2" t="inlineStr">
        <is>
          <t>The Gaze | A Kehelmala Short</t>
        </is>
      </c>
      <c r="B155" s="3" t="n"/>
      <c r="C155" s="10" t="n">
        <v>45702</v>
      </c>
      <c r="D155" s="5" t="n"/>
      <c r="E155" s="3" t="inlineStr">
        <is>
          <t>https://www.youtube.com/watch?v=Jj4s5r__GeI</t>
        </is>
      </c>
    </row>
    <row r="156">
      <c r="A156" s="2" t="inlineStr">
        <is>
          <t>Family Portrait</t>
        </is>
      </c>
      <c r="B156" s="3" t="n"/>
      <c r="C156" s="10" t="n">
        <v>45700</v>
      </c>
      <c r="D156" s="5" t="n"/>
      <c r="E156" s="3" t="inlineStr">
        <is>
          <t>https://www.youtube.com/watch?v=BuRSR_SaxyQ</t>
        </is>
      </c>
    </row>
    <row r="157">
      <c r="A157" s="2" t="inlineStr">
        <is>
          <t>The Miracle | A Kehelmala Short</t>
        </is>
      </c>
      <c r="B157" s="3" t="n"/>
      <c r="C157" s="10" t="n">
        <v>45695</v>
      </c>
      <c r="D157" s="5" t="n"/>
      <c r="E157" s="3" t="inlineStr">
        <is>
          <t>https://www.youtube.com/watch?v=AMNfa_XQ0j8</t>
        </is>
      </c>
    </row>
    <row r="158">
      <c r="A158" s="2" t="inlineStr">
        <is>
          <t>Sensational! | A Kehelmala Short</t>
        </is>
      </c>
      <c r="B158" s="3" t="n"/>
      <c r="C158" s="10" t="n">
        <v>45693</v>
      </c>
      <c r="D158" s="5" t="n"/>
      <c r="E158" s="3" t="inlineStr">
        <is>
          <t>https://www.youtube.com/watch?v=yE9p4Qk8mOU</t>
        </is>
      </c>
    </row>
    <row r="159">
      <c r="A159" s="2" t="inlineStr">
        <is>
          <t>Coal</t>
        </is>
      </c>
      <c r="B159" s="3" t="n"/>
      <c r="C159" s="10" t="n">
        <v>45688</v>
      </c>
      <c r="D159" s="5" t="n"/>
      <c r="E159" s="3" t="inlineStr">
        <is>
          <t>https://www.youtube.com/watch?v=XT4T7fZm2ng</t>
        </is>
      </c>
    </row>
    <row r="160">
      <c r="A160" s="2" t="inlineStr">
        <is>
          <t>Caught in the Act | A Kehelmala Short</t>
        </is>
      </c>
      <c r="B160" s="3" t="n"/>
      <c r="C160" s="10" t="n">
        <v>45686</v>
      </c>
      <c r="D160" s="5" t="n"/>
      <c r="E160" s="3" t="inlineStr">
        <is>
          <t>https://www.youtube.com/watch?v=kU3PUBraTU4</t>
        </is>
      </c>
    </row>
    <row r="161">
      <c r="A161" s="2" t="inlineStr">
        <is>
          <t>The Farewell | A Kehelmala Short</t>
        </is>
      </c>
      <c r="B161" s="3" t="n"/>
      <c r="C161" s="10" t="n">
        <v>45684</v>
      </c>
      <c r="D161" s="5" t="n"/>
      <c r="E161" s="3" t="inlineStr">
        <is>
          <t>https://www.youtube.com/watch?v=gDzeKgUtrHI</t>
        </is>
      </c>
    </row>
    <row r="162">
      <c r="A162" s="2" t="inlineStr">
        <is>
          <t>Demonic</t>
        </is>
      </c>
      <c r="B162" s="3" t="n"/>
      <c r="C162" s="10" t="n">
        <v>45681</v>
      </c>
      <c r="D162" s="5" t="n"/>
      <c r="E162" s="3" t="inlineStr">
        <is>
          <t>https://www.youtube.com/watch?v=3txvdWHR6Qw</t>
        </is>
      </c>
    </row>
    <row r="163">
      <c r="A163" s="2" t="inlineStr">
        <is>
          <t>Gratitude | A Kehelmala Short</t>
        </is>
      </c>
      <c r="B163" s="3" t="n"/>
      <c r="C163" s="10" t="n">
        <v>45675</v>
      </c>
      <c r="D163" s="5" t="n"/>
      <c r="E163" s="3" t="inlineStr">
        <is>
          <t>https://www.youtube.com/watch?v=PF1_Z3APOh0</t>
        </is>
      </c>
    </row>
    <row r="164">
      <c r="A164" s="2" t="inlineStr">
        <is>
          <t>Chocolate - Part 1 | A Kehelmala Short Series</t>
        </is>
      </c>
      <c r="B164" s="3" t="n"/>
      <c r="C164" s="10" t="n">
        <v>45657</v>
      </c>
      <c r="D164" s="5" t="n"/>
      <c r="E164" s="3" t="inlineStr">
        <is>
          <t>https://www.youtube.com/watch?v=ePn2obtYNCc</t>
        </is>
      </c>
    </row>
    <row r="165">
      <c r="A165" s="2" t="inlineStr">
        <is>
          <t>Happy Birthday! | A Kehelmala Short</t>
        </is>
      </c>
      <c r="B165" s="3" t="n"/>
      <c r="C165" s="10" t="n">
        <v>45653</v>
      </c>
      <c r="D165" s="5" t="n"/>
      <c r="E165" s="3" t="inlineStr">
        <is>
          <t>https://www.youtube.com/watch?v=hW39jR_gHsA</t>
        </is>
      </c>
    </row>
    <row r="166">
      <c r="A166" s="2" t="inlineStr">
        <is>
          <t>Just Right!</t>
        </is>
      </c>
      <c r="B166" s="3" t="n"/>
      <c r="C166" s="10" t="n">
        <v>45650</v>
      </c>
      <c r="D166" s="5" t="n"/>
      <c r="E166" s="3" t="inlineStr">
        <is>
          <t>https://www.youtube.com/watch?v=8Do6GpixsMU</t>
        </is>
      </c>
    </row>
    <row r="167">
      <c r="A167" s="2" t="inlineStr">
        <is>
          <t>Santa’s Gift</t>
        </is>
      </c>
      <c r="B167" s="3" t="n"/>
      <c r="C167" s="10" t="n">
        <v>45645</v>
      </c>
      <c r="D167" s="5" t="n"/>
      <c r="E167" s="3" t="inlineStr">
        <is>
          <t>https://www.youtube.com/watch?v=OqTjSpzJM1k</t>
        </is>
      </c>
    </row>
    <row r="168">
      <c r="A168" s="2" t="inlineStr">
        <is>
          <t>The Talk</t>
        </is>
      </c>
      <c r="B168" s="3" t="n"/>
      <c r="C168" s="10" t="n">
        <v>45622</v>
      </c>
      <c r="D168" s="5" t="n"/>
      <c r="E168" s="3" t="inlineStr">
        <is>
          <t>https://www.youtube.com/watch?v=gOs5gEGGOxI</t>
        </is>
      </c>
    </row>
    <row r="169">
      <c r="A169" s="2" t="inlineStr">
        <is>
          <t>Welcome to my home #movie #drama #love #obsession #dark</t>
        </is>
      </c>
      <c r="B169" s="3" t="n"/>
      <c r="C169" s="10" t="n">
        <v>45620</v>
      </c>
      <c r="D169" s="5" t="n"/>
      <c r="E169" s="3" t="inlineStr">
        <is>
          <t>https://www.youtube.com/watch?v=CtAsNCNce1c</t>
        </is>
      </c>
    </row>
    <row r="170">
      <c r="A170" s="2" t="inlineStr">
        <is>
          <t>Custodians</t>
        </is>
      </c>
      <c r="B170" s="3" t="n"/>
      <c r="C170" s="10" t="n">
        <v>45609</v>
      </c>
      <c r="D170" s="5" t="n"/>
      <c r="E170" s="3" t="inlineStr">
        <is>
          <t>https://www.youtube.com/watch?v=q_92yFyv1_4</t>
        </is>
      </c>
    </row>
    <row r="171">
      <c r="A171" s="2" t="inlineStr">
        <is>
          <t>The Run In | A Kehelmala Short</t>
        </is>
      </c>
      <c r="B171" s="3" t="n"/>
      <c r="C171" s="10" t="n">
        <v>45603</v>
      </c>
      <c r="D171" s="5" t="n"/>
      <c r="E171" s="3" t="inlineStr">
        <is>
          <t>https://www.youtube.com/watch?v=V8g-PEx8Jj4</t>
        </is>
      </c>
    </row>
    <row r="172">
      <c r="A172" s="2" t="inlineStr">
        <is>
          <t>Kehelmala Showreel | 2024</t>
        </is>
      </c>
      <c r="B172" s="3" t="n"/>
      <c r="C172" s="10" t="n">
        <v>45434</v>
      </c>
      <c r="D172" s="5" t="n"/>
      <c r="E172" s="3" t="inlineStr">
        <is>
          <t>https://www.youtube.com/watch?v=aYpfa00zmzs</t>
        </is>
      </c>
    </row>
    <row r="173">
      <c r="A173" s="2" t="inlineStr">
        <is>
          <t>GROWTHesque - Trailer for United Solo New York City 2022</t>
        </is>
      </c>
      <c r="B173" s="3" t="n"/>
      <c r="C173" s="10" t="n">
        <v>44838</v>
      </c>
      <c r="D173" s="5" t="n"/>
      <c r="E173" s="3" t="inlineStr">
        <is>
          <t>https://www.youtube.com/watch?v=vft92uJp_LI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0" customWidth="1" min="2" max="2"/>
    <col width="12" customWidth="1" min="3" max="3"/>
    <col width="12" customWidth="1" min="4" max="4"/>
    <col width="15" customWidth="1" min="5" max="5"/>
    <col width="15" customWidth="1" min="6" max="6"/>
    <col width="11" customWidth="1" min="7" max="7"/>
    <col width="14" customWidth="1" min="8" max="8"/>
    <col width="13" customWidth="1" min="9" max="9"/>
    <col width="30" customWidth="1" min="10" max="10"/>
    <col width="55" customWidth="1" min="11" max="11"/>
  </cols>
  <sheetData>
    <row r="1">
      <c r="A1" s="1" t="inlineStr">
        <is>
          <t>Video</t>
        </is>
      </c>
      <c r="B1" s="1" t="inlineStr">
        <is>
          <t>Platform</t>
        </is>
      </c>
      <c r="C1" s="1" t="inlineStr">
        <is>
          <t>Views</t>
        </is>
      </c>
      <c r="D1" s="1" t="inlineStr">
        <is>
          <t>Engagement</t>
        </is>
      </c>
      <c r="E1" s="1" t="inlineStr">
        <is>
          <t>Reactions/Likes</t>
        </is>
      </c>
      <c r="F1" s="1" t="inlineStr">
        <is>
          <t>Shares/Reposts</t>
        </is>
      </c>
      <c r="G1" s="1" t="inlineStr">
        <is>
          <t>Comments</t>
        </is>
      </c>
      <c r="H1" s="1" t="inlineStr">
        <is>
          <t>Engagement rate</t>
        </is>
      </c>
      <c r="I1" s="1" t="inlineStr">
        <is>
          <t>Data as of</t>
        </is>
      </c>
      <c r="J1" s="1" t="inlineStr">
        <is>
          <t>Source</t>
        </is>
      </c>
      <c r="K1" s="1" t="inlineStr">
        <is>
          <t>Notes</t>
        </is>
      </c>
    </row>
    <row r="2">
      <c r="A2" s="2" t="inlineStr">
        <is>
          <t>Dreams | A Kehelmala Short</t>
        </is>
      </c>
      <c r="B2" s="2" t="inlineStr">
        <is>
          <t>YouTube</t>
        </is>
      </c>
      <c r="C2" s="6" t="n">
        <v>32556</v>
      </c>
      <c r="D2" s="7">
        <f>SUM(E2:G2)</f>
        <v/>
      </c>
      <c r="E2" s="6" t="n">
        <v>569</v>
      </c>
      <c r="F2" s="6" t="n">
        <v>116</v>
      </c>
      <c r="G2" s="6" t="n">
        <v>94</v>
      </c>
      <c r="H2" s="11">
        <f>IF(C2&gt;0,D2/C2,"")</f>
        <v/>
      </c>
      <c r="I2" s="12" t="n">
        <v>46293</v>
      </c>
      <c r="J2" s="3" t="inlineStr">
        <is>
          <t>YouTube Data API (yt_pull.py)</t>
        </is>
      </c>
      <c r="K2" s="3" t="inlineStr">
        <is>
          <t>Shares from YouTube Studio export</t>
        </is>
      </c>
    </row>
    <row r="3">
      <c r="A3" s="2" t="inlineStr">
        <is>
          <t>White Lies | A Kehelmala Short</t>
        </is>
      </c>
      <c r="B3" s="2" t="inlineStr">
        <is>
          <t>YouTube</t>
        </is>
      </c>
      <c r="C3" s="6" t="n">
        <v>50260</v>
      </c>
      <c r="D3" s="7">
        <f>SUM(E3:G3)</f>
        <v/>
      </c>
      <c r="E3" s="6" t="n">
        <v>637</v>
      </c>
      <c r="F3" s="6" t="n">
        <v>48</v>
      </c>
      <c r="G3" s="6" t="n">
        <v>57</v>
      </c>
      <c r="H3" s="11">
        <f>IF(C3&gt;0,D3/C3,"")</f>
        <v/>
      </c>
      <c r="I3" s="12" t="n">
        <v>46293</v>
      </c>
      <c r="J3" s="3" t="inlineStr">
        <is>
          <t>YouTube Data API (yt_pull.py)</t>
        </is>
      </c>
      <c r="K3" s="3" t="inlineStr">
        <is>
          <t>Shares from YouTube Studio export</t>
        </is>
      </c>
    </row>
    <row r="4">
      <c r="A4" s="2" t="inlineStr">
        <is>
          <t>Mansions</t>
        </is>
      </c>
      <c r="B4" s="2" t="inlineStr">
        <is>
          <t>YouTube</t>
        </is>
      </c>
      <c r="C4" s="6" t="n">
        <v>5451</v>
      </c>
      <c r="D4" s="7">
        <f>SUM(E4:G4)</f>
        <v/>
      </c>
      <c r="E4" s="6" t="n">
        <v>238</v>
      </c>
      <c r="F4" s="6" t="n">
        <v>12</v>
      </c>
      <c r="G4" s="6" t="n">
        <v>7</v>
      </c>
      <c r="H4" s="11">
        <f>IF(C4&gt;0,D4/C4,"")</f>
        <v/>
      </c>
      <c r="I4" s="12" t="n">
        <v>46293</v>
      </c>
      <c r="J4" s="3" t="inlineStr">
        <is>
          <t>YouTube Data API (yt_pull.py)</t>
        </is>
      </c>
      <c r="K4" s="3" t="inlineStr">
        <is>
          <t>Shares from YouTube Studio export</t>
        </is>
      </c>
    </row>
    <row r="5">
      <c r="A5" s="2" t="inlineStr">
        <is>
          <t>Bodhi Pooja | A Kehelmala Short</t>
        </is>
      </c>
      <c r="B5" s="2" t="inlineStr">
        <is>
          <t>YouTube</t>
        </is>
      </c>
      <c r="C5" s="6" t="n">
        <v>42884</v>
      </c>
      <c r="D5" s="7">
        <f>SUM(E5:G5)</f>
        <v/>
      </c>
      <c r="E5" s="6" t="n">
        <v>716</v>
      </c>
      <c r="F5" s="6" t="n">
        <v>55</v>
      </c>
      <c r="G5" s="6" t="n">
        <v>20</v>
      </c>
      <c r="H5" s="11">
        <f>IF(C5&gt;0,D5/C5,"")</f>
        <v/>
      </c>
      <c r="I5" s="12" t="n">
        <v>46293</v>
      </c>
      <c r="J5" s="3" t="inlineStr">
        <is>
          <t>YouTube Data API (yt_pull.py)</t>
        </is>
      </c>
      <c r="K5" s="3" t="inlineStr">
        <is>
          <t>Shares from YouTube Studio export</t>
        </is>
      </c>
    </row>
    <row r="6">
      <c r="A6" s="2" t="inlineStr">
        <is>
          <t>Argument</t>
        </is>
      </c>
      <c r="B6" s="2" t="inlineStr">
        <is>
          <t>YouTube</t>
        </is>
      </c>
      <c r="C6" s="6" t="n">
        <v>172335</v>
      </c>
      <c r="D6" s="7">
        <f>SUM(E6:G6)</f>
        <v/>
      </c>
      <c r="E6" s="6" t="n">
        <v>4794</v>
      </c>
      <c r="F6" s="6" t="n">
        <v>391</v>
      </c>
      <c r="G6" s="6" t="n">
        <v>42</v>
      </c>
      <c r="H6" s="11">
        <f>IF(C6&gt;0,D6/C6,"")</f>
        <v/>
      </c>
      <c r="I6" s="12" t="n">
        <v>46293</v>
      </c>
      <c r="J6" s="3" t="inlineStr">
        <is>
          <t>YouTube Data API (yt_pull.py)</t>
        </is>
      </c>
      <c r="K6" s="3" t="inlineStr">
        <is>
          <t>Shares from YouTube Studio export</t>
        </is>
      </c>
    </row>
    <row r="7">
      <c r="A7" s="2" t="inlineStr">
        <is>
          <t>Oops! | A Kehelmala Short</t>
        </is>
      </c>
      <c r="B7" s="2" t="inlineStr">
        <is>
          <t>YouTube</t>
        </is>
      </c>
      <c r="C7" s="6" t="n">
        <v>33636</v>
      </c>
      <c r="D7" s="7">
        <f>SUM(E7:G7)</f>
        <v/>
      </c>
      <c r="E7" s="6" t="n">
        <v>571</v>
      </c>
      <c r="F7" s="6" t="n">
        <v>47</v>
      </c>
      <c r="G7" s="6" t="n">
        <v>53</v>
      </c>
      <c r="H7" s="11">
        <f>IF(C7&gt;0,D7/C7,"")</f>
        <v/>
      </c>
      <c r="I7" s="12" t="n">
        <v>46293</v>
      </c>
      <c r="J7" s="3" t="inlineStr">
        <is>
          <t>YouTube Data API (yt_pull.py)</t>
        </is>
      </c>
      <c r="K7" s="3" t="inlineStr">
        <is>
          <t>Shares from YouTube Studio export</t>
        </is>
      </c>
    </row>
    <row r="8">
      <c r="A8" s="2" t="inlineStr">
        <is>
          <t>Internship</t>
        </is>
      </c>
      <c r="B8" s="2" t="inlineStr">
        <is>
          <t>YouTube</t>
        </is>
      </c>
      <c r="C8" s="6" t="n">
        <v>8971</v>
      </c>
      <c r="D8" s="7">
        <f>SUM(E8:G8)</f>
        <v/>
      </c>
      <c r="E8" s="6" t="n">
        <v>358</v>
      </c>
      <c r="F8" s="6" t="n">
        <v>11</v>
      </c>
      <c r="G8" s="6" t="n">
        <v>5</v>
      </c>
      <c r="H8" s="11">
        <f>IF(C8&gt;0,D8/C8,"")</f>
        <v/>
      </c>
      <c r="I8" s="12" t="n">
        <v>46293</v>
      </c>
      <c r="J8" s="3" t="inlineStr">
        <is>
          <t>YouTube Data API (yt_pull.py)</t>
        </is>
      </c>
      <c r="K8" s="3" t="inlineStr">
        <is>
          <t>Shares from YouTube Studio export</t>
        </is>
      </c>
    </row>
    <row r="9">
      <c r="A9" s="2" t="inlineStr">
        <is>
          <t>Mansions | A Kehelmala Short</t>
        </is>
      </c>
      <c r="B9" s="2" t="inlineStr">
        <is>
          <t>YouTube</t>
        </is>
      </c>
      <c r="C9" s="6" t="n">
        <v>35090</v>
      </c>
      <c r="D9" s="7">
        <f>SUM(E9:G9)</f>
        <v/>
      </c>
      <c r="E9" s="6" t="n">
        <v>634</v>
      </c>
      <c r="F9" s="6" t="n">
        <v>55</v>
      </c>
      <c r="G9" s="6" t="n">
        <v>22</v>
      </c>
      <c r="H9" s="11">
        <f>IF(C9&gt;0,D9/C9,"")</f>
        <v/>
      </c>
      <c r="I9" s="12" t="n">
        <v>46293</v>
      </c>
      <c r="J9" s="3" t="inlineStr">
        <is>
          <t>YouTube Data API (yt_pull.py)</t>
        </is>
      </c>
      <c r="K9" s="3" t="inlineStr">
        <is>
          <t>Shares from YouTube Studio export</t>
        </is>
      </c>
    </row>
    <row r="10">
      <c r="A10" s="2" t="inlineStr">
        <is>
          <t>Virtually Perfect | A Kehelmala Short</t>
        </is>
      </c>
      <c r="B10" s="2" t="inlineStr">
        <is>
          <t>YouTube</t>
        </is>
      </c>
      <c r="C10" s="6" t="n">
        <v>50105</v>
      </c>
      <c r="D10" s="7">
        <f>SUM(E10:G10)</f>
        <v/>
      </c>
      <c r="E10" s="6" t="n">
        <v>1354</v>
      </c>
      <c r="F10" s="6" t="n">
        <v>294</v>
      </c>
      <c r="G10" s="6" t="n">
        <v>105</v>
      </c>
      <c r="H10" s="11">
        <f>IF(C10&gt;0,D10/C10,"")</f>
        <v/>
      </c>
      <c r="I10" s="12" t="n">
        <v>46293</v>
      </c>
      <c r="J10" s="3" t="inlineStr">
        <is>
          <t>YouTube Data API (yt_pull.py)</t>
        </is>
      </c>
      <c r="K10" s="3" t="inlineStr">
        <is>
          <t>Shares from YouTube Studio export</t>
        </is>
      </c>
    </row>
    <row r="11">
      <c r="A11" s="2" t="inlineStr">
        <is>
          <t>Frames</t>
        </is>
      </c>
      <c r="B11" s="2" t="inlineStr">
        <is>
          <t>YouTube</t>
        </is>
      </c>
      <c r="C11" s="6" t="n">
        <v>4157</v>
      </c>
      <c r="D11" s="7">
        <f>SUM(E11:G11)</f>
        <v/>
      </c>
      <c r="E11" s="6" t="n">
        <v>243</v>
      </c>
      <c r="F11" s="6" t="n">
        <v>5</v>
      </c>
      <c r="G11" s="6" t="n">
        <v>6</v>
      </c>
      <c r="H11" s="11">
        <f>IF(C11&gt;0,D11/C11,"")</f>
        <v/>
      </c>
      <c r="I11" s="12" t="n">
        <v>46293</v>
      </c>
      <c r="J11" s="3" t="inlineStr">
        <is>
          <t>YouTube Data API (yt_pull.py)</t>
        </is>
      </c>
      <c r="K11" s="3" t="inlineStr">
        <is>
          <t>Shares from YouTube Studio export</t>
        </is>
      </c>
    </row>
    <row r="12">
      <c r="A12" s="2" t="inlineStr">
        <is>
          <t>Reunion | A Kehelmala Short</t>
        </is>
      </c>
      <c r="B12" s="2" t="inlineStr">
        <is>
          <t>YouTube</t>
        </is>
      </c>
      <c r="C12" s="6" t="n">
        <v>21974</v>
      </c>
      <c r="D12" s="7">
        <f>SUM(E12:G12)</f>
        <v/>
      </c>
      <c r="E12" s="6" t="n">
        <v>587</v>
      </c>
      <c r="F12" s="6" t="n">
        <v>14</v>
      </c>
      <c r="G12" s="6" t="n">
        <v>38</v>
      </c>
      <c r="H12" s="11">
        <f>IF(C12&gt;0,D12/C12,"")</f>
        <v/>
      </c>
      <c r="I12" s="12" t="n">
        <v>46293</v>
      </c>
      <c r="J12" s="3" t="inlineStr">
        <is>
          <t>YouTube Data API (yt_pull.py)</t>
        </is>
      </c>
      <c r="K12" s="3" t="inlineStr">
        <is>
          <t>Shares from YouTube Studio export</t>
        </is>
      </c>
    </row>
    <row r="13">
      <c r="A13" s="2" t="inlineStr">
        <is>
          <t>Dodol, pt. 2</t>
        </is>
      </c>
      <c r="B13" s="2" t="inlineStr">
        <is>
          <t>YouTube</t>
        </is>
      </c>
      <c r="C13" s="6" t="n">
        <v>4373</v>
      </c>
      <c r="D13" s="7">
        <f>SUM(E13:G13)</f>
        <v/>
      </c>
      <c r="E13" s="6" t="n">
        <v>212</v>
      </c>
      <c r="F13" s="6" t="n">
        <v>17</v>
      </c>
      <c r="G13" s="6" t="n">
        <v>5</v>
      </c>
      <c r="H13" s="11">
        <f>IF(C13&gt;0,D13/C13,"")</f>
        <v/>
      </c>
      <c r="I13" s="12" t="n">
        <v>46293</v>
      </c>
      <c r="J13" s="3" t="inlineStr">
        <is>
          <t>YouTube Data API (yt_pull.py)</t>
        </is>
      </c>
      <c r="K13" s="3" t="inlineStr">
        <is>
          <t>Shares from YouTube Studio export</t>
        </is>
      </c>
    </row>
    <row r="14">
      <c r="A14" s="2" t="inlineStr">
        <is>
          <t>The Pill | A Kehelmala Short</t>
        </is>
      </c>
      <c r="B14" s="2" t="inlineStr">
        <is>
          <t>YouTube</t>
        </is>
      </c>
      <c r="C14" s="6" t="n">
        <v>30936</v>
      </c>
      <c r="D14" s="7">
        <f>SUM(E14:G14)</f>
        <v/>
      </c>
      <c r="E14" s="6" t="n">
        <v>844</v>
      </c>
      <c r="F14" s="6" t="n">
        <v>152</v>
      </c>
      <c r="G14" s="6" t="n">
        <v>155</v>
      </c>
      <c r="H14" s="11">
        <f>IF(C14&gt;0,D14/C14,"")</f>
        <v/>
      </c>
      <c r="I14" s="12" t="n">
        <v>46293</v>
      </c>
      <c r="J14" s="3" t="inlineStr">
        <is>
          <t>YouTube Data API (yt_pull.py)</t>
        </is>
      </c>
      <c r="K14" s="3" t="inlineStr">
        <is>
          <t>Shares from YouTube Studio export</t>
        </is>
      </c>
    </row>
    <row r="15">
      <c r="A15" s="2" t="inlineStr">
        <is>
          <t>Dodol, pt. 1</t>
        </is>
      </c>
      <c r="B15" s="2" t="inlineStr">
        <is>
          <t>YouTube</t>
        </is>
      </c>
      <c r="C15" s="6" t="n">
        <v>3308</v>
      </c>
      <c r="D15" s="7">
        <f>SUM(E15:G15)</f>
        <v/>
      </c>
      <c r="E15" s="6" t="n">
        <v>136</v>
      </c>
      <c r="F15" s="6" t="n">
        <v>7</v>
      </c>
      <c r="G15" s="6" t="n">
        <v>3</v>
      </c>
      <c r="H15" s="11">
        <f>IF(C15&gt;0,D15/C15,"")</f>
        <v/>
      </c>
      <c r="I15" s="12" t="n">
        <v>46293</v>
      </c>
      <c r="J15" s="3" t="inlineStr">
        <is>
          <t>YouTube Data API (yt_pull.py)</t>
        </is>
      </c>
      <c r="K15" s="3" t="inlineStr">
        <is>
          <t>Shares from YouTube Studio export</t>
        </is>
      </c>
    </row>
    <row r="16">
      <c r="A16" s="2" t="inlineStr">
        <is>
          <t>Argument | A Kehelmala Short</t>
        </is>
      </c>
      <c r="B16" s="2" t="inlineStr">
        <is>
          <t>YouTube</t>
        </is>
      </c>
      <c r="C16" s="6" t="n">
        <v>23369</v>
      </c>
      <c r="D16" s="7">
        <f>SUM(E16:G16)</f>
        <v/>
      </c>
      <c r="E16" s="6" t="n">
        <v>916</v>
      </c>
      <c r="F16" s="6" t="n">
        <v>243</v>
      </c>
      <c r="G16" s="6" t="n">
        <v>51</v>
      </c>
      <c r="H16" s="11">
        <f>IF(C16&gt;0,D16/C16,"")</f>
        <v/>
      </c>
      <c r="I16" s="12" t="n">
        <v>46293</v>
      </c>
      <c r="J16" s="3" t="inlineStr">
        <is>
          <t>YouTube Data API (yt_pull.py)</t>
        </is>
      </c>
      <c r="K16" s="3" t="inlineStr">
        <is>
          <t>Shares from YouTube Studio export</t>
        </is>
      </c>
    </row>
    <row r="17">
      <c r="A17" s="2" t="inlineStr">
        <is>
          <t>Toxic</t>
        </is>
      </c>
      <c r="B17" s="2" t="inlineStr">
        <is>
          <t>YouTube</t>
        </is>
      </c>
      <c r="C17" s="6" t="n">
        <v>24346</v>
      </c>
      <c r="D17" s="7">
        <f>SUM(E17:G17)</f>
        <v/>
      </c>
      <c r="E17" s="6" t="n">
        <v>637</v>
      </c>
      <c r="F17" s="6" t="n">
        <v>14</v>
      </c>
      <c r="G17" s="6" t="n">
        <v>7</v>
      </c>
      <c r="H17" s="11">
        <f>IF(C17&gt;0,D17/C17,"")</f>
        <v/>
      </c>
      <c r="I17" s="12" t="n">
        <v>46293</v>
      </c>
      <c r="J17" s="3" t="inlineStr">
        <is>
          <t>YouTube Data API (yt_pull.py)</t>
        </is>
      </c>
      <c r="K17" s="3" t="inlineStr">
        <is>
          <t>Shares from YouTube Studio export</t>
        </is>
      </c>
    </row>
    <row r="18">
      <c r="A18" s="2" t="inlineStr">
        <is>
          <t>My Mother is Dead and I Have Work Tomorrow | A Kehelmala Short Film</t>
        </is>
      </c>
      <c r="B18" s="2" t="inlineStr">
        <is>
          <t>YouTube</t>
        </is>
      </c>
      <c r="C18" s="6" t="n">
        <v>15954</v>
      </c>
      <c r="D18" s="7">
        <f>SUM(E18:G18)</f>
        <v/>
      </c>
      <c r="E18" s="6" t="n">
        <v>612</v>
      </c>
      <c r="F18" s="6" t="n">
        <v>58</v>
      </c>
      <c r="G18" s="6" t="n">
        <v>30</v>
      </c>
      <c r="H18" s="11">
        <f>IF(C18&gt;0,D18/C18,"")</f>
        <v/>
      </c>
      <c r="I18" s="12" t="n">
        <v>46293</v>
      </c>
      <c r="J18" s="3" t="inlineStr">
        <is>
          <t>YouTube Data API (yt_pull.py)</t>
        </is>
      </c>
      <c r="K18" s="3" t="inlineStr">
        <is>
          <t>Shares from YouTube Studio export</t>
        </is>
      </c>
    </row>
    <row r="19">
      <c r="A19" s="2" t="inlineStr">
        <is>
          <t>Pinipa, pt. 2</t>
        </is>
      </c>
      <c r="B19" s="2" t="inlineStr">
        <is>
          <t>YouTube</t>
        </is>
      </c>
      <c r="C19" s="6" t="n">
        <v>4008</v>
      </c>
      <c r="D19" s="7">
        <f>SUM(E19:G19)</f>
        <v/>
      </c>
      <c r="E19" s="6" t="n">
        <v>112</v>
      </c>
      <c r="F19" s="6" t="n">
        <v>2</v>
      </c>
      <c r="G19" s="6" t="n">
        <v>8</v>
      </c>
      <c r="H19" s="11">
        <f>IF(C19&gt;0,D19/C19,"")</f>
        <v/>
      </c>
      <c r="I19" s="12" t="n">
        <v>46293</v>
      </c>
      <c r="J19" s="3" t="inlineStr">
        <is>
          <t>YouTube Data API (yt_pull.py)</t>
        </is>
      </c>
      <c r="K19" s="3" t="inlineStr">
        <is>
          <t>Shares from YouTube Studio export</t>
        </is>
      </c>
    </row>
    <row r="20">
      <c r="A20" s="2" t="inlineStr">
        <is>
          <t>Frames | A Kehelmala Short</t>
        </is>
      </c>
      <c r="B20" s="2" t="inlineStr">
        <is>
          <t>YouTube</t>
        </is>
      </c>
      <c r="C20" s="6" t="n">
        <v>17947</v>
      </c>
      <c r="D20" s="7">
        <f>SUM(E20:G20)</f>
        <v/>
      </c>
      <c r="E20" s="6" t="n">
        <v>901</v>
      </c>
      <c r="F20" s="6" t="n">
        <v>77</v>
      </c>
      <c r="G20" s="6" t="n">
        <v>38</v>
      </c>
      <c r="H20" s="11">
        <f>IF(C20&gt;0,D20/C20,"")</f>
        <v/>
      </c>
      <c r="I20" s="12" t="n">
        <v>46293</v>
      </c>
      <c r="J20" s="3" t="inlineStr">
        <is>
          <t>YouTube Data API (yt_pull.py)</t>
        </is>
      </c>
      <c r="K20" s="3" t="inlineStr">
        <is>
          <t>Shares from YouTube Studio export</t>
        </is>
      </c>
    </row>
    <row r="21">
      <c r="A21" s="2" t="inlineStr">
        <is>
          <t>Pinipa, pt 1</t>
        </is>
      </c>
      <c r="B21" s="2" t="inlineStr">
        <is>
          <t>YouTube</t>
        </is>
      </c>
      <c r="C21" s="6" t="n">
        <v>3883</v>
      </c>
      <c r="D21" s="7">
        <f>SUM(E21:G21)</f>
        <v/>
      </c>
      <c r="E21" s="6" t="n">
        <v>94</v>
      </c>
      <c r="F21" s="6" t="n">
        <v>10</v>
      </c>
      <c r="G21" s="6" t="n">
        <v>6</v>
      </c>
      <c r="H21" s="11">
        <f>IF(C21&gt;0,D21/C21,"")</f>
        <v/>
      </c>
      <c r="I21" s="12" t="n">
        <v>46293</v>
      </c>
      <c r="J21" s="3" t="inlineStr">
        <is>
          <t>YouTube Data API (yt_pull.py)</t>
        </is>
      </c>
      <c r="K21" s="3" t="inlineStr">
        <is>
          <t>Shares from YouTube Studio export</t>
        </is>
      </c>
    </row>
    <row r="22">
      <c r="A22" s="2" t="inlineStr">
        <is>
          <t>Internship | A Kehelmala Short</t>
        </is>
      </c>
      <c r="B22" s="2" t="inlineStr">
        <is>
          <t>YouTube</t>
        </is>
      </c>
      <c r="C22" s="6" t="n">
        <v>63775</v>
      </c>
      <c r="D22" s="7">
        <f>SUM(E22:G22)</f>
        <v/>
      </c>
      <c r="E22" s="6" t="n">
        <v>2059</v>
      </c>
      <c r="F22" s="6" t="n">
        <v>237</v>
      </c>
      <c r="G22" s="6" t="n">
        <v>87</v>
      </c>
      <c r="H22" s="11">
        <f>IF(C22&gt;0,D22/C22,"")</f>
        <v/>
      </c>
      <c r="I22" s="12" t="n">
        <v>46293</v>
      </c>
      <c r="J22" s="3" t="inlineStr">
        <is>
          <t>YouTube Data API (yt_pull.py)</t>
        </is>
      </c>
      <c r="K22" s="3" t="inlineStr">
        <is>
          <t>Shares from YouTube Studio export</t>
        </is>
      </c>
    </row>
    <row r="23">
      <c r="A23" s="2" t="inlineStr">
        <is>
          <t>The Statement | A Kehelmala Short</t>
        </is>
      </c>
      <c r="B23" s="2" t="inlineStr">
        <is>
          <t>YouTube</t>
        </is>
      </c>
      <c r="C23" s="6" t="n">
        <v>21424</v>
      </c>
      <c r="D23" s="7">
        <f>SUM(E23:G23)</f>
        <v/>
      </c>
      <c r="E23" s="6" t="n">
        <v>920</v>
      </c>
      <c r="F23" s="6" t="n">
        <v>112</v>
      </c>
      <c r="G23" s="6" t="n">
        <v>72</v>
      </c>
      <c r="H23" s="11">
        <f>IF(C23&gt;0,D23/C23,"")</f>
        <v/>
      </c>
      <c r="I23" s="12" t="n">
        <v>46293</v>
      </c>
      <c r="J23" s="3" t="inlineStr">
        <is>
          <t>YouTube Data API (yt_pull.py)</t>
        </is>
      </c>
      <c r="K23" s="3" t="inlineStr">
        <is>
          <t>Shares from YouTube Studio export</t>
        </is>
      </c>
    </row>
    <row r="24">
      <c r="A24" s="2" t="inlineStr">
        <is>
          <t>Cards | A Kehelmala Short</t>
        </is>
      </c>
      <c r="B24" s="2" t="inlineStr">
        <is>
          <t>YouTube</t>
        </is>
      </c>
      <c r="C24" s="6" t="n">
        <v>22972</v>
      </c>
      <c r="D24" s="7">
        <f>SUM(E24:G24)</f>
        <v/>
      </c>
      <c r="E24" s="6" t="n">
        <v>924</v>
      </c>
      <c r="F24" s="6" t="n">
        <v>125</v>
      </c>
      <c r="G24" s="6" t="n">
        <v>32</v>
      </c>
      <c r="H24" s="11">
        <f>IF(C24&gt;0,D24/C24,"")</f>
        <v/>
      </c>
      <c r="I24" s="12" t="n">
        <v>46293</v>
      </c>
      <c r="J24" s="3" t="inlineStr">
        <is>
          <t>YouTube Data API (yt_pull.py)</t>
        </is>
      </c>
      <c r="K24" s="3" t="inlineStr">
        <is>
          <t>Shares from YouTube Studio export</t>
        </is>
      </c>
    </row>
    <row r="25">
      <c r="A25" s="2" t="inlineStr">
        <is>
          <t>Braids | A Kehelmala Short</t>
        </is>
      </c>
      <c r="B25" s="2" t="inlineStr">
        <is>
          <t>YouTube</t>
        </is>
      </c>
      <c r="C25" s="6" t="n">
        <v>26615</v>
      </c>
      <c r="D25" s="7">
        <f>SUM(E25:G25)</f>
        <v/>
      </c>
      <c r="E25" s="6" t="n">
        <v>1102</v>
      </c>
      <c r="F25" s="6" t="n">
        <v>59</v>
      </c>
      <c r="G25" s="6" t="n">
        <v>40</v>
      </c>
      <c r="H25" s="11">
        <f>IF(C25&gt;0,D25/C25,"")</f>
        <v/>
      </c>
      <c r="I25" s="12" t="n">
        <v>46293</v>
      </c>
      <c r="J25" s="3" t="inlineStr">
        <is>
          <t>YouTube Data API (yt_pull.py)</t>
        </is>
      </c>
      <c r="K25" s="3" t="inlineStr">
        <is>
          <t>Shares from YouTube Studio export</t>
        </is>
      </c>
    </row>
    <row r="26">
      <c r="A26" s="2" t="inlineStr">
        <is>
          <t>Fit On | A Kehelmala Short</t>
        </is>
      </c>
      <c r="B26" s="2" t="inlineStr">
        <is>
          <t>YouTube</t>
        </is>
      </c>
      <c r="C26" s="6" t="n">
        <v>41634</v>
      </c>
      <c r="D26" s="7">
        <f>SUM(E26:G26)</f>
        <v/>
      </c>
      <c r="E26" s="6" t="n">
        <v>1534</v>
      </c>
      <c r="F26" s="6" t="n">
        <v>142</v>
      </c>
      <c r="G26" s="6" t="n">
        <v>123</v>
      </c>
      <c r="H26" s="11">
        <f>IF(C26&gt;0,D26/C26,"")</f>
        <v/>
      </c>
      <c r="I26" s="12" t="n">
        <v>46293</v>
      </c>
      <c r="J26" s="3" t="inlineStr">
        <is>
          <t>YouTube Data API (yt_pull.py)</t>
        </is>
      </c>
      <c r="K26" s="3" t="inlineStr">
        <is>
          <t>Shares from YouTube Studio export</t>
        </is>
      </c>
    </row>
    <row r="27">
      <c r="A27" s="2" t="inlineStr">
        <is>
          <t>Toxic | A Kehelmala Short</t>
        </is>
      </c>
      <c r="B27" s="2" t="inlineStr">
        <is>
          <t>YouTube</t>
        </is>
      </c>
      <c r="C27" s="6" t="n">
        <v>28339</v>
      </c>
      <c r="D27" s="7">
        <f>SUM(E27:G27)</f>
        <v/>
      </c>
      <c r="E27" s="6" t="n">
        <v>745</v>
      </c>
      <c r="F27" s="6" t="n">
        <v>35</v>
      </c>
      <c r="G27" s="6" t="n">
        <v>29</v>
      </c>
      <c r="H27" s="11">
        <f>IF(C27&gt;0,D27/C27,"")</f>
        <v/>
      </c>
      <c r="I27" s="12" t="n">
        <v>46293</v>
      </c>
      <c r="J27" s="3" t="inlineStr">
        <is>
          <t>YouTube Data API (yt_pull.py)</t>
        </is>
      </c>
      <c r="K27" s="3" t="inlineStr">
        <is>
          <t>Shares from YouTube Studio export</t>
        </is>
      </c>
    </row>
    <row r="28">
      <c r="A28" s="2" t="inlineStr">
        <is>
          <t>Fleeting | A Kehelmala Short</t>
        </is>
      </c>
      <c r="B28" s="2" t="inlineStr">
        <is>
          <t>YouTube</t>
        </is>
      </c>
      <c r="C28" s="6" t="n">
        <v>46148</v>
      </c>
      <c r="D28" s="7">
        <f>SUM(E28:G28)</f>
        <v/>
      </c>
      <c r="E28" s="6" t="n">
        <v>3219</v>
      </c>
      <c r="F28" s="6" t="n">
        <v>361</v>
      </c>
      <c r="G28" s="6" t="n">
        <v>111</v>
      </c>
      <c r="H28" s="11">
        <f>IF(C28&gt;0,D28/C28,"")</f>
        <v/>
      </c>
      <c r="I28" s="12" t="n">
        <v>46293</v>
      </c>
      <c r="J28" s="3" t="inlineStr">
        <is>
          <t>YouTube Data API (yt_pull.py)</t>
        </is>
      </c>
      <c r="K28" s="3" t="inlineStr">
        <is>
          <t>Shares from YouTube Studio export</t>
        </is>
      </c>
    </row>
    <row r="29">
      <c r="A29" s="2" t="inlineStr">
        <is>
          <t>Lantern</t>
        </is>
      </c>
      <c r="B29" s="2" t="inlineStr">
        <is>
          <t>YouTube</t>
        </is>
      </c>
      <c r="C29" s="6" t="n">
        <v>192611</v>
      </c>
      <c r="D29" s="7">
        <f>SUM(E29:G29)</f>
        <v/>
      </c>
      <c r="E29" s="6" t="n">
        <v>9505</v>
      </c>
      <c r="F29" s="6" t="n">
        <v>75</v>
      </c>
      <c r="G29" s="6" t="n">
        <v>42</v>
      </c>
      <c r="H29" s="11">
        <f>IF(C29&gt;0,D29/C29,"")</f>
        <v/>
      </c>
      <c r="I29" s="12" t="n">
        <v>46293</v>
      </c>
      <c r="J29" s="3" t="inlineStr">
        <is>
          <t>YouTube Data API (yt_pull.py)</t>
        </is>
      </c>
      <c r="K29" s="3" t="inlineStr">
        <is>
          <t>Shares from YouTube Studio export</t>
        </is>
      </c>
    </row>
    <row r="30">
      <c r="A30" s="2" t="inlineStr">
        <is>
          <t>Dodol | A Kehelmala Short</t>
        </is>
      </c>
      <c r="B30" s="2" t="inlineStr">
        <is>
          <t>YouTube</t>
        </is>
      </c>
      <c r="C30" s="6" t="n">
        <v>98422</v>
      </c>
      <c r="D30" s="7">
        <f>SUM(E30:G30)</f>
        <v/>
      </c>
      <c r="E30" s="6" t="n">
        <v>3269</v>
      </c>
      <c r="F30" s="6" t="n">
        <v>760</v>
      </c>
      <c r="G30" s="6" t="n">
        <v>246</v>
      </c>
      <c r="H30" s="11">
        <f>IF(C30&gt;0,D30/C30,"")</f>
        <v/>
      </c>
      <c r="I30" s="12" t="n">
        <v>46293</v>
      </c>
      <c r="J30" s="3" t="inlineStr">
        <is>
          <t>YouTube Data API (yt_pull.py)</t>
        </is>
      </c>
      <c r="K30" s="3" t="inlineStr">
        <is>
          <t>Shares from YouTube Studio export</t>
        </is>
      </c>
    </row>
    <row r="31">
      <c r="A31" s="2" t="inlineStr">
        <is>
          <t>The Bungalow | A Kehelmala Animated Short Film</t>
        </is>
      </c>
      <c r="B31" s="2" t="inlineStr">
        <is>
          <t>YouTube</t>
        </is>
      </c>
      <c r="C31" s="6" t="n">
        <v>10986</v>
      </c>
      <c r="D31" s="7">
        <f>SUM(E31:G31)</f>
        <v/>
      </c>
      <c r="E31" s="6" t="n">
        <v>736</v>
      </c>
      <c r="F31" s="6" t="n">
        <v>92</v>
      </c>
      <c r="G31" s="6" t="n">
        <v>69</v>
      </c>
      <c r="H31" s="11">
        <f>IF(C31&gt;0,D31/C31,"")</f>
        <v/>
      </c>
      <c r="I31" s="12" t="n">
        <v>46293</v>
      </c>
      <c r="J31" s="3" t="inlineStr">
        <is>
          <t>YouTube Data API (yt_pull.py)</t>
        </is>
      </c>
      <c r="K31" s="3" t="inlineStr">
        <is>
          <t>Shares from YouTube Studio export</t>
        </is>
      </c>
    </row>
    <row r="32">
      <c r="A32" s="2" t="inlineStr">
        <is>
          <t>Voice Note  | A Kehelmala Short</t>
        </is>
      </c>
      <c r="B32" s="2" t="inlineStr">
        <is>
          <t>YouTube</t>
        </is>
      </c>
      <c r="C32" s="6" t="n">
        <v>22558</v>
      </c>
      <c r="D32" s="7">
        <f>SUM(E32:G32)</f>
        <v/>
      </c>
      <c r="E32" s="6" t="n">
        <v>867</v>
      </c>
      <c r="F32" s="6" t="n">
        <v>74</v>
      </c>
      <c r="G32" s="6" t="n">
        <v>32</v>
      </c>
      <c r="H32" s="11">
        <f>IF(C32&gt;0,D32/C32,"")</f>
        <v/>
      </c>
      <c r="I32" s="12" t="n">
        <v>46293</v>
      </c>
      <c r="J32" s="3" t="inlineStr">
        <is>
          <t>YouTube Data API (yt_pull.py)</t>
        </is>
      </c>
      <c r="K32" s="3" t="inlineStr">
        <is>
          <t>Shares from YouTube Studio export</t>
        </is>
      </c>
    </row>
    <row r="33">
      <c r="A33" s="2" t="inlineStr">
        <is>
          <t>Back To Work  | A Kehelmala Short</t>
        </is>
      </c>
      <c r="B33" s="2" t="inlineStr">
        <is>
          <t>YouTube</t>
        </is>
      </c>
      <c r="C33" s="6" t="n">
        <v>91781</v>
      </c>
      <c r="D33" s="7">
        <f>SUM(E33:G33)</f>
        <v/>
      </c>
      <c r="E33" s="6" t="n">
        <v>2666</v>
      </c>
      <c r="F33" s="6" t="n">
        <v>443</v>
      </c>
      <c r="G33" s="6" t="n">
        <v>159</v>
      </c>
      <c r="H33" s="11">
        <f>IF(C33&gt;0,D33/C33,"")</f>
        <v/>
      </c>
      <c r="I33" s="12" t="n">
        <v>46293</v>
      </c>
      <c r="J33" s="3" t="inlineStr">
        <is>
          <t>YouTube Data API (yt_pull.py)</t>
        </is>
      </c>
      <c r="K33" s="3" t="inlineStr">
        <is>
          <t>Shares from YouTube Studio export</t>
        </is>
      </c>
    </row>
    <row r="34">
      <c r="A34" s="2" t="inlineStr">
        <is>
          <t>Neighbours</t>
        </is>
      </c>
      <c r="B34" s="2" t="inlineStr">
        <is>
          <t>YouTube</t>
        </is>
      </c>
      <c r="C34" s="6" t="n">
        <v>10681</v>
      </c>
      <c r="D34" s="7">
        <f>SUM(E34:G34)</f>
        <v/>
      </c>
      <c r="E34" s="6" t="n">
        <v>718</v>
      </c>
      <c r="F34" s="6" t="n">
        <v>13</v>
      </c>
      <c r="G34" s="6" t="n">
        <v>11</v>
      </c>
      <c r="H34" s="11">
        <f>IF(C34&gt;0,D34/C34,"")</f>
        <v/>
      </c>
      <c r="I34" s="12" t="n">
        <v>46293</v>
      </c>
      <c r="J34" s="3" t="inlineStr">
        <is>
          <t>YouTube Data API (yt_pull.py)</t>
        </is>
      </c>
      <c r="K34" s="3" t="inlineStr">
        <is>
          <t>Shares from YouTube Studio export</t>
        </is>
      </c>
    </row>
    <row r="35">
      <c r="A35" s="2" t="inlineStr">
        <is>
          <t>Neighbours  | A Kehelmala Short</t>
        </is>
      </c>
      <c r="B35" s="2" t="inlineStr">
        <is>
          <t>YouTube</t>
        </is>
      </c>
      <c r="C35" s="6" t="n">
        <v>251531</v>
      </c>
      <c r="D35" s="7">
        <f>SUM(E35:G35)</f>
        <v/>
      </c>
      <c r="E35" s="6" t="n">
        <v>5253</v>
      </c>
      <c r="F35" s="6" t="n">
        <v>300</v>
      </c>
      <c r="G35" s="6" t="n">
        <v>193</v>
      </c>
      <c r="H35" s="11">
        <f>IF(C35&gt;0,D35/C35,"")</f>
        <v/>
      </c>
      <c r="I35" s="12" t="n">
        <v>46293</v>
      </c>
      <c r="J35" s="3" t="inlineStr">
        <is>
          <t>YouTube Data API (yt_pull.py)</t>
        </is>
      </c>
      <c r="K35" s="3" t="inlineStr">
        <is>
          <t>Shares from YouTube Studio export</t>
        </is>
      </c>
    </row>
    <row r="36">
      <c r="A36" s="2" t="inlineStr">
        <is>
          <t>Thorn Bush | A Kehelmala Short</t>
        </is>
      </c>
      <c r="B36" s="2" t="inlineStr">
        <is>
          <t>YouTube</t>
        </is>
      </c>
      <c r="C36" s="6" t="n">
        <v>23914</v>
      </c>
      <c r="D36" s="7">
        <f>SUM(E36:G36)</f>
        <v/>
      </c>
      <c r="E36" s="6" t="n">
        <v>900</v>
      </c>
      <c r="F36" s="6" t="n">
        <v>85</v>
      </c>
      <c r="G36" s="6" t="n">
        <v>76</v>
      </c>
      <c r="H36" s="11">
        <f>IF(C36&gt;0,D36/C36,"")</f>
        <v/>
      </c>
      <c r="I36" s="12" t="n">
        <v>46293</v>
      </c>
      <c r="J36" s="3" t="inlineStr">
        <is>
          <t>YouTube Data API (yt_pull.py)</t>
        </is>
      </c>
      <c r="K36" s="3" t="inlineStr">
        <is>
          <t>Shares from YouTube Studio export</t>
        </is>
      </c>
    </row>
    <row r="37">
      <c r="A37" s="2" t="inlineStr">
        <is>
          <t>Pani Walalu</t>
        </is>
      </c>
      <c r="B37" s="2" t="inlineStr">
        <is>
          <t>YouTube</t>
        </is>
      </c>
      <c r="C37" s="6" t="n">
        <v>458172</v>
      </c>
      <c r="D37" s="7">
        <f>SUM(E37:G37)</f>
        <v/>
      </c>
      <c r="E37" s="6" t="n">
        <v>14884</v>
      </c>
      <c r="F37" s="6" t="n">
        <v>248</v>
      </c>
      <c r="G37" s="6" t="n">
        <v>65</v>
      </c>
      <c r="H37" s="11">
        <f>IF(C37&gt;0,D37/C37,"")</f>
        <v/>
      </c>
      <c r="I37" s="12" t="n">
        <v>46293</v>
      </c>
      <c r="J37" s="3" t="inlineStr">
        <is>
          <t>YouTube Data API (yt_pull.py)</t>
        </is>
      </c>
      <c r="K37" s="3" t="inlineStr">
        <is>
          <t>Shares from YouTube Studio export</t>
        </is>
      </c>
    </row>
    <row r="38">
      <c r="A38" s="2" t="inlineStr">
        <is>
          <t>Pani Walalu | A Kehelmala Short</t>
        </is>
      </c>
      <c r="B38" s="2" t="inlineStr">
        <is>
          <t>YouTube</t>
        </is>
      </c>
      <c r="C38" s="6" t="n">
        <v>42676</v>
      </c>
      <c r="D38" s="7">
        <f>SUM(E38:G38)</f>
        <v/>
      </c>
      <c r="E38" s="6" t="n">
        <v>1729</v>
      </c>
      <c r="F38" s="6" t="n">
        <v>182</v>
      </c>
      <c r="G38" s="6" t="n">
        <v>52</v>
      </c>
      <c r="H38" s="11">
        <f>IF(C38&gt;0,D38/C38,"")</f>
        <v/>
      </c>
      <c r="I38" s="12" t="n">
        <v>46293</v>
      </c>
      <c r="J38" s="3" t="inlineStr">
        <is>
          <t>YouTube Data API (yt_pull.py)</t>
        </is>
      </c>
      <c r="K38" s="3" t="inlineStr">
        <is>
          <t>Shares from YouTube Studio export</t>
        </is>
      </c>
    </row>
    <row r="39">
      <c r="A39" s="2" t="inlineStr">
        <is>
          <t>Worsties | A Kehelmala Short</t>
        </is>
      </c>
      <c r="B39" s="2" t="inlineStr">
        <is>
          <t>YouTube</t>
        </is>
      </c>
      <c r="C39" s="6" t="n">
        <v>25400</v>
      </c>
      <c r="D39" s="7">
        <f>SUM(E39:G39)</f>
        <v/>
      </c>
      <c r="E39" s="6" t="n">
        <v>627</v>
      </c>
      <c r="F39" s="6" t="n">
        <v>66</v>
      </c>
      <c r="G39" s="6" t="n">
        <v>17</v>
      </c>
      <c r="H39" s="11">
        <f>IF(C39&gt;0,D39/C39,"")</f>
        <v/>
      </c>
      <c r="I39" s="12" t="n">
        <v>46293</v>
      </c>
      <c r="J39" s="3" t="inlineStr">
        <is>
          <t>YouTube Data API (yt_pull.py)</t>
        </is>
      </c>
      <c r="K39" s="3" t="inlineStr">
        <is>
          <t>Shares from YouTube Studio export</t>
        </is>
      </c>
    </row>
    <row r="40">
      <c r="A40" s="2" t="inlineStr">
        <is>
          <t>Flying Visit | A Kehelmala Short</t>
        </is>
      </c>
      <c r="B40" s="2" t="inlineStr">
        <is>
          <t>YouTube</t>
        </is>
      </c>
      <c r="C40" s="6" t="n">
        <v>16401</v>
      </c>
      <c r="D40" s="7">
        <f>SUM(E40:G40)</f>
        <v/>
      </c>
      <c r="E40" s="6" t="n">
        <v>725</v>
      </c>
      <c r="F40" s="6" t="n">
        <v>95</v>
      </c>
      <c r="G40" s="6" t="n">
        <v>29</v>
      </c>
      <c r="H40" s="11">
        <f>IF(C40&gt;0,D40/C40,"")</f>
        <v/>
      </c>
      <c r="I40" s="12" t="n">
        <v>46293</v>
      </c>
      <c r="J40" s="3" t="inlineStr">
        <is>
          <t>YouTube Data API (yt_pull.py)</t>
        </is>
      </c>
      <c r="K40" s="3" t="inlineStr">
        <is>
          <t>Shares from YouTube Studio export</t>
        </is>
      </c>
    </row>
    <row r="41">
      <c r="A41" s="2" t="inlineStr">
        <is>
          <t>Morning After | A Kehelmala Short</t>
        </is>
      </c>
      <c r="B41" s="2" t="inlineStr">
        <is>
          <t>YouTube</t>
        </is>
      </c>
      <c r="C41" s="6" t="n">
        <v>418289</v>
      </c>
      <c r="D41" s="7">
        <f>SUM(E41:G41)</f>
        <v/>
      </c>
      <c r="E41" s="6" t="n">
        <v>2224</v>
      </c>
      <c r="F41" s="6" t="n">
        <v>444</v>
      </c>
      <c r="G41" s="6" t="n">
        <v>103</v>
      </c>
      <c r="H41" s="11">
        <f>IF(C41&gt;0,D41/C41,"")</f>
        <v/>
      </c>
      <c r="I41" s="12" t="n">
        <v>46293</v>
      </c>
      <c r="J41" s="3" t="inlineStr">
        <is>
          <t>YouTube Data API (yt_pull.py)</t>
        </is>
      </c>
      <c r="K41" s="3" t="inlineStr">
        <is>
          <t>Shares from YouTube Studio export</t>
        </is>
      </c>
    </row>
    <row r="42">
      <c r="A42" s="2" t="inlineStr">
        <is>
          <t>Screwdriver | A Kehelmala Short Film</t>
        </is>
      </c>
      <c r="B42" s="2" t="inlineStr">
        <is>
          <t>YouTube</t>
        </is>
      </c>
      <c r="C42" s="6" t="n">
        <v>39515</v>
      </c>
      <c r="D42" s="7">
        <f>SUM(E42:G42)</f>
        <v/>
      </c>
      <c r="E42" s="6" t="n">
        <v>1557</v>
      </c>
      <c r="F42" s="6" t="n">
        <v>182</v>
      </c>
      <c r="G42" s="6" t="n">
        <v>67</v>
      </c>
      <c r="H42" s="11">
        <f>IF(C42&gt;0,D42/C42,"")</f>
        <v/>
      </c>
      <c r="I42" s="12" t="n">
        <v>46293</v>
      </c>
      <c r="J42" s="3" t="inlineStr">
        <is>
          <t>YouTube Data API (yt_pull.py)</t>
        </is>
      </c>
      <c r="K42" s="3" t="inlineStr">
        <is>
          <t>Shares from YouTube Studio export</t>
        </is>
      </c>
    </row>
    <row r="43">
      <c r="A43" s="2" t="inlineStr">
        <is>
          <t>Approval | A Kehelmala Short</t>
        </is>
      </c>
      <c r="B43" s="2" t="inlineStr">
        <is>
          <t>YouTube</t>
        </is>
      </c>
      <c r="C43" s="6" t="n">
        <v>96848</v>
      </c>
      <c r="D43" s="7">
        <f>SUM(E43:G43)</f>
        <v/>
      </c>
      <c r="E43" s="6" t="n">
        <v>3085</v>
      </c>
      <c r="F43" s="6" t="n">
        <v>468</v>
      </c>
      <c r="G43" s="6" t="n">
        <v>161</v>
      </c>
      <c r="H43" s="11">
        <f>IF(C43&gt;0,D43/C43,"")</f>
        <v/>
      </c>
      <c r="I43" s="12" t="n">
        <v>46293</v>
      </c>
      <c r="J43" s="3" t="inlineStr">
        <is>
          <t>YouTube Data API (yt_pull.py)</t>
        </is>
      </c>
      <c r="K43" s="3" t="inlineStr">
        <is>
          <t>Shares from YouTube Studio export</t>
        </is>
      </c>
    </row>
    <row r="44">
      <c r="A44" s="2" t="inlineStr">
        <is>
          <t>Misfire | A Kehelmala Short</t>
        </is>
      </c>
      <c r="B44" s="2" t="inlineStr">
        <is>
          <t>YouTube</t>
        </is>
      </c>
      <c r="C44" s="6" t="n">
        <v>17401</v>
      </c>
      <c r="D44" s="7">
        <f>SUM(E44:G44)</f>
        <v/>
      </c>
      <c r="E44" s="6" t="n">
        <v>617</v>
      </c>
      <c r="F44" s="6" t="n">
        <v>40</v>
      </c>
      <c r="G44" s="6" t="n">
        <v>47</v>
      </c>
      <c r="H44" s="11">
        <f>IF(C44&gt;0,D44/C44,"")</f>
        <v/>
      </c>
      <c r="I44" s="12" t="n">
        <v>46293</v>
      </c>
      <c r="J44" s="3" t="inlineStr">
        <is>
          <t>YouTube Data API (yt_pull.py)</t>
        </is>
      </c>
      <c r="K44" s="3" t="inlineStr">
        <is>
          <t>Shares from YouTube Studio export</t>
        </is>
      </c>
    </row>
    <row r="45">
      <c r="A45" s="2" t="inlineStr">
        <is>
          <t>45 Minutes | A Kehelmala Short</t>
        </is>
      </c>
      <c r="B45" s="2" t="inlineStr">
        <is>
          <t>YouTube</t>
        </is>
      </c>
      <c r="C45" s="6" t="n">
        <v>37694</v>
      </c>
      <c r="D45" s="7">
        <f>SUM(E45:G45)</f>
        <v/>
      </c>
      <c r="E45" s="6" t="n">
        <v>1740</v>
      </c>
      <c r="F45" s="6" t="n">
        <v>586</v>
      </c>
      <c r="G45" s="6" t="n">
        <v>94</v>
      </c>
      <c r="H45" s="11">
        <f>IF(C45&gt;0,D45/C45,"")</f>
        <v/>
      </c>
      <c r="I45" s="12" t="n">
        <v>46293</v>
      </c>
      <c r="J45" s="3" t="inlineStr">
        <is>
          <t>YouTube Data API (yt_pull.py)</t>
        </is>
      </c>
      <c r="K45" s="3" t="inlineStr">
        <is>
          <t>Shares from YouTube Studio export</t>
        </is>
      </c>
    </row>
    <row r="46">
      <c r="A46" s="2" t="inlineStr">
        <is>
          <t>Marble</t>
        </is>
      </c>
      <c r="B46" s="2" t="inlineStr">
        <is>
          <t>YouTube</t>
        </is>
      </c>
      <c r="C46" s="6" t="n">
        <v>21651</v>
      </c>
      <c r="D46" s="7">
        <f>SUM(E46:G46)</f>
        <v/>
      </c>
      <c r="E46" s="6" t="n">
        <v>838</v>
      </c>
      <c r="F46" s="6" t="n">
        <v>42</v>
      </c>
      <c r="G46" s="6" t="n">
        <v>10</v>
      </c>
      <c r="H46" s="11">
        <f>IF(C46&gt;0,D46/C46,"")</f>
        <v/>
      </c>
      <c r="I46" s="12" t="n">
        <v>46293</v>
      </c>
      <c r="J46" s="3" t="inlineStr">
        <is>
          <t>YouTube Data API (yt_pull.py)</t>
        </is>
      </c>
      <c r="K46" s="3" t="inlineStr">
        <is>
          <t>Shares from YouTube Studio export</t>
        </is>
      </c>
    </row>
    <row r="47">
      <c r="A47" s="2" t="inlineStr">
        <is>
          <t>You And I</t>
        </is>
      </c>
      <c r="B47" s="2" t="inlineStr">
        <is>
          <t>YouTube</t>
        </is>
      </c>
      <c r="C47" s="6" t="n">
        <v>21199</v>
      </c>
      <c r="D47" s="7">
        <f>SUM(E47:G47)</f>
        <v/>
      </c>
      <c r="E47" s="6" t="n">
        <v>564</v>
      </c>
      <c r="F47" s="6" t="n">
        <v>41</v>
      </c>
      <c r="G47" s="6" t="n">
        <v>12</v>
      </c>
      <c r="H47" s="11">
        <f>IF(C47&gt;0,D47/C47,"")</f>
        <v/>
      </c>
      <c r="I47" s="12" t="n">
        <v>46293</v>
      </c>
      <c r="J47" s="3" t="inlineStr">
        <is>
          <t>YouTube Data API (yt_pull.py)</t>
        </is>
      </c>
      <c r="K47" s="3" t="inlineStr">
        <is>
          <t>Shares from YouTube Studio export</t>
        </is>
      </c>
    </row>
    <row r="48">
      <c r="A48" s="2" t="inlineStr">
        <is>
          <t>You And I | A Kehelmala Short</t>
        </is>
      </c>
      <c r="B48" s="2" t="inlineStr">
        <is>
          <t>YouTube</t>
        </is>
      </c>
      <c r="C48" s="6" t="n">
        <v>109126</v>
      </c>
      <c r="D48" s="7">
        <f>SUM(E48:G48)</f>
        <v/>
      </c>
      <c r="E48" s="6" t="n">
        <v>1427</v>
      </c>
      <c r="F48" s="6" t="n">
        <v>332</v>
      </c>
      <c r="G48" s="6" t="n">
        <v>101</v>
      </c>
      <c r="H48" s="11">
        <f>IF(C48&gt;0,D48/C48,"")</f>
        <v/>
      </c>
      <c r="I48" s="12" t="n">
        <v>46293</v>
      </c>
      <c r="J48" s="3" t="inlineStr">
        <is>
          <t>YouTube Data API (yt_pull.py)</t>
        </is>
      </c>
      <c r="K48" s="3" t="inlineStr">
        <is>
          <t>Shares from YouTube Studio export</t>
        </is>
      </c>
    </row>
    <row r="49">
      <c r="A49" s="2" t="inlineStr">
        <is>
          <t>In Charge | A Kehelmala Short Film</t>
        </is>
      </c>
      <c r="B49" s="2" t="inlineStr">
        <is>
          <t>YouTube</t>
        </is>
      </c>
      <c r="C49" s="6" t="n">
        <v>83811</v>
      </c>
      <c r="D49" s="7">
        <f>SUM(E49:G49)</f>
        <v/>
      </c>
      <c r="E49" s="6" t="n">
        <v>1654</v>
      </c>
      <c r="F49" s="6" t="n">
        <v>142</v>
      </c>
      <c r="G49" s="6" t="n">
        <v>73</v>
      </c>
      <c r="H49" s="11">
        <f>IF(C49&gt;0,D49/C49,"")</f>
        <v/>
      </c>
      <c r="I49" s="12" t="n">
        <v>46293</v>
      </c>
      <c r="J49" s="3" t="inlineStr">
        <is>
          <t>YouTube Data API (yt_pull.py)</t>
        </is>
      </c>
      <c r="K49" s="3" t="inlineStr">
        <is>
          <t>Shares from YouTube Studio export</t>
        </is>
      </c>
    </row>
    <row r="50">
      <c r="A50" s="2" t="inlineStr">
        <is>
          <t>Breakdown</t>
        </is>
      </c>
      <c r="B50" s="2" t="inlineStr">
        <is>
          <t>YouTube</t>
        </is>
      </c>
      <c r="C50" s="6" t="n">
        <v>42569</v>
      </c>
      <c r="D50" s="7">
        <f>SUM(E50:G50)</f>
        <v/>
      </c>
      <c r="E50" s="6" t="n">
        <v>1461</v>
      </c>
      <c r="F50" s="6" t="n">
        <v>16</v>
      </c>
      <c r="G50" s="6" t="n">
        <v>15</v>
      </c>
      <c r="H50" s="11">
        <f>IF(C50&gt;0,D50/C50,"")</f>
        <v/>
      </c>
      <c r="I50" s="12" t="n">
        <v>46293</v>
      </c>
      <c r="J50" s="3" t="inlineStr">
        <is>
          <t>YouTube Data API (yt_pull.py)</t>
        </is>
      </c>
      <c r="K50" s="3" t="inlineStr">
        <is>
          <t>Shares from YouTube Studio export</t>
        </is>
      </c>
    </row>
    <row r="51">
      <c r="A51" s="2" t="inlineStr">
        <is>
          <t>Breakdown | A Kehelmala Short</t>
        </is>
      </c>
      <c r="B51" s="2" t="inlineStr">
        <is>
          <t>YouTube</t>
        </is>
      </c>
      <c r="C51" s="6" t="n">
        <v>13611</v>
      </c>
      <c r="D51" s="7">
        <f>SUM(E51:G51)</f>
        <v/>
      </c>
      <c r="E51" s="6" t="n">
        <v>531</v>
      </c>
      <c r="F51" s="6" t="n">
        <v>65</v>
      </c>
      <c r="G51" s="6" t="n">
        <v>20</v>
      </c>
      <c r="H51" s="11">
        <f>IF(C51&gt;0,D51/C51,"")</f>
        <v/>
      </c>
      <c r="I51" s="12" t="n">
        <v>46293</v>
      </c>
      <c r="J51" s="3" t="inlineStr">
        <is>
          <t>YouTube Data API (yt_pull.py)</t>
        </is>
      </c>
      <c r="K51" s="3" t="inlineStr">
        <is>
          <t>Shares from YouTube Studio export</t>
        </is>
      </c>
    </row>
    <row r="52">
      <c r="A52" s="2" t="inlineStr">
        <is>
          <t>Siblings</t>
        </is>
      </c>
      <c r="B52" s="2" t="inlineStr">
        <is>
          <t>YouTube</t>
        </is>
      </c>
      <c r="C52" s="6" t="n">
        <v>441690</v>
      </c>
      <c r="D52" s="7">
        <f>SUM(E52:G52)</f>
        <v/>
      </c>
      <c r="E52" s="6" t="n">
        <v>16934</v>
      </c>
      <c r="F52" s="6" t="n">
        <v>405</v>
      </c>
      <c r="G52" s="6" t="n">
        <v>78</v>
      </c>
      <c r="H52" s="11">
        <f>IF(C52&gt;0,D52/C52,"")</f>
        <v/>
      </c>
      <c r="I52" s="12" t="n">
        <v>46293</v>
      </c>
      <c r="J52" s="3" t="inlineStr">
        <is>
          <t>YouTube Data API (yt_pull.py)</t>
        </is>
      </c>
      <c r="K52" s="3" t="inlineStr">
        <is>
          <t>Shares from YouTube Studio export</t>
        </is>
      </c>
    </row>
    <row r="53">
      <c r="A53" s="2" t="inlineStr">
        <is>
          <t>Embers | A Kehelmala Short</t>
        </is>
      </c>
      <c r="B53" s="2" t="inlineStr">
        <is>
          <t>YouTube</t>
        </is>
      </c>
      <c r="C53" s="6" t="n">
        <v>44748</v>
      </c>
      <c r="D53" s="7">
        <f>SUM(E53:G53)</f>
        <v/>
      </c>
      <c r="E53" s="6" t="n">
        <v>1726</v>
      </c>
      <c r="F53" s="6" t="n">
        <v>304</v>
      </c>
      <c r="G53" s="6" t="n">
        <v>92</v>
      </c>
      <c r="H53" s="11">
        <f>IF(C53&gt;0,D53/C53,"")</f>
        <v/>
      </c>
      <c r="I53" s="12" t="n">
        <v>46293</v>
      </c>
      <c r="J53" s="3" t="inlineStr">
        <is>
          <t>YouTube Data API (yt_pull.py)</t>
        </is>
      </c>
      <c r="K53" s="3" t="inlineStr">
        <is>
          <t>Shares from YouTube Studio export</t>
        </is>
      </c>
    </row>
    <row r="54">
      <c r="A54" s="2" t="inlineStr">
        <is>
          <t>Sneaking In, pt. 2</t>
        </is>
      </c>
      <c r="B54" s="2" t="inlineStr">
        <is>
          <t>YouTube</t>
        </is>
      </c>
      <c r="C54" s="6" t="n">
        <v>664634</v>
      </c>
      <c r="D54" s="7">
        <f>SUM(E54:G54)</f>
        <v/>
      </c>
      <c r="E54" s="6" t="n">
        <v>31913</v>
      </c>
      <c r="F54" s="6" t="n">
        <v>1401</v>
      </c>
      <c r="G54" s="6" t="n">
        <v>312</v>
      </c>
      <c r="H54" s="11">
        <f>IF(C54&gt;0,D54/C54,"")</f>
        <v/>
      </c>
      <c r="I54" s="12" t="n">
        <v>46293</v>
      </c>
      <c r="J54" s="3" t="inlineStr">
        <is>
          <t>YouTube Data API (yt_pull.py)</t>
        </is>
      </c>
      <c r="K54" s="3" t="inlineStr">
        <is>
          <t>Shares from YouTube Studio export</t>
        </is>
      </c>
    </row>
    <row r="55">
      <c r="A55" s="2" t="inlineStr">
        <is>
          <t>Sneaking In, Pt. 1</t>
        </is>
      </c>
      <c r="B55" s="2" t="inlineStr">
        <is>
          <t>YouTube</t>
        </is>
      </c>
      <c r="C55" s="6" t="n">
        <v>65536</v>
      </c>
      <c r="D55" s="7">
        <f>SUM(E55:G55)</f>
        <v/>
      </c>
      <c r="E55" s="6" t="n">
        <v>3522</v>
      </c>
      <c r="F55" s="6" t="n">
        <v>316</v>
      </c>
      <c r="G55" s="6" t="n">
        <v>71</v>
      </c>
      <c r="H55" s="11">
        <f>IF(C55&gt;0,D55/C55,"")</f>
        <v/>
      </c>
      <c r="I55" s="12" t="n">
        <v>46293</v>
      </c>
      <c r="J55" s="3" t="inlineStr">
        <is>
          <t>YouTube Data API (yt_pull.py)</t>
        </is>
      </c>
      <c r="K55" s="3" t="inlineStr">
        <is>
          <t>Shares from YouTube Studio export</t>
        </is>
      </c>
    </row>
    <row r="56">
      <c r="A56" s="2" t="inlineStr">
        <is>
          <t>Kolam | A Kehelmala Short</t>
        </is>
      </c>
      <c r="B56" s="2" t="inlineStr">
        <is>
          <t>YouTube</t>
        </is>
      </c>
      <c r="C56" s="6" t="n">
        <v>15768</v>
      </c>
      <c r="D56" s="7">
        <f>SUM(E56:G56)</f>
        <v/>
      </c>
      <c r="E56" s="6" t="n">
        <v>669</v>
      </c>
      <c r="F56" s="6" t="n">
        <v>47</v>
      </c>
      <c r="G56" s="6" t="n">
        <v>63</v>
      </c>
      <c r="H56" s="11">
        <f>IF(C56&gt;0,D56/C56,"")</f>
        <v/>
      </c>
      <c r="I56" s="12" t="n">
        <v>46293</v>
      </c>
      <c r="J56" s="3" t="inlineStr">
        <is>
          <t>YouTube Data API (yt_pull.py)</t>
        </is>
      </c>
      <c r="K56" s="3" t="inlineStr">
        <is>
          <t>Shares from YouTube Studio export</t>
        </is>
      </c>
    </row>
    <row r="57">
      <c r="A57" s="2" t="inlineStr">
        <is>
          <t>Caught in the Act</t>
        </is>
      </c>
      <c r="B57" s="2" t="inlineStr">
        <is>
          <t>YouTube</t>
        </is>
      </c>
      <c r="C57" s="6" t="n">
        <v>65346</v>
      </c>
      <c r="D57" s="7">
        <f>SUM(E57:G57)</f>
        <v/>
      </c>
      <c r="E57" s="6" t="n">
        <v>2512</v>
      </c>
      <c r="F57" s="6" t="n">
        <v>273</v>
      </c>
      <c r="G57" s="6" t="n">
        <v>36</v>
      </c>
      <c r="H57" s="11">
        <f>IF(C57&gt;0,D57/C57,"")</f>
        <v/>
      </c>
      <c r="I57" s="12" t="n">
        <v>46293</v>
      </c>
      <c r="J57" s="3" t="inlineStr">
        <is>
          <t>YouTube Data API (yt_pull.py)</t>
        </is>
      </c>
      <c r="K57" s="3" t="inlineStr">
        <is>
          <t>Shares from YouTube Studio export</t>
        </is>
      </c>
    </row>
    <row r="58">
      <c r="A58" s="2" t="inlineStr">
        <is>
          <t>Marble | A Kehelmala Short</t>
        </is>
      </c>
      <c r="B58" s="2" t="inlineStr">
        <is>
          <t>YouTube</t>
        </is>
      </c>
      <c r="C58" s="6" t="n">
        <v>67510</v>
      </c>
      <c r="D58" s="7">
        <f>SUM(E58:G58)</f>
        <v/>
      </c>
      <c r="E58" s="6" t="n">
        <v>1905</v>
      </c>
      <c r="F58" s="6" t="n">
        <v>220</v>
      </c>
      <c r="G58" s="6" t="n">
        <v>97</v>
      </c>
      <c r="H58" s="11">
        <f>IF(C58&gt;0,D58/C58,"")</f>
        <v/>
      </c>
      <c r="I58" s="12" t="n">
        <v>46293</v>
      </c>
      <c r="J58" s="3" t="inlineStr">
        <is>
          <t>YouTube Data API (yt_pull.py)</t>
        </is>
      </c>
      <c r="K58" s="3" t="inlineStr">
        <is>
          <t>Shares from YouTube Studio export</t>
        </is>
      </c>
    </row>
    <row r="59">
      <c r="A59" s="2" t="inlineStr">
        <is>
          <t>Giddy Up!</t>
        </is>
      </c>
      <c r="B59" s="2" t="inlineStr">
        <is>
          <t>YouTube</t>
        </is>
      </c>
      <c r="C59" s="6" t="n">
        <v>954828</v>
      </c>
      <c r="D59" s="7">
        <f>SUM(E59:G59)</f>
        <v/>
      </c>
      <c r="E59" s="6" t="n">
        <v>24411</v>
      </c>
      <c r="F59" s="6" t="n">
        <v>516</v>
      </c>
      <c r="G59" s="6" t="n">
        <v>150</v>
      </c>
      <c r="H59" s="11">
        <f>IF(C59&gt;0,D59/C59,"")</f>
        <v/>
      </c>
      <c r="I59" s="12" t="n">
        <v>46293</v>
      </c>
      <c r="J59" s="3" t="inlineStr">
        <is>
          <t>YouTube Data API (yt_pull.py)</t>
        </is>
      </c>
      <c r="K59" s="3" t="inlineStr">
        <is>
          <t>Shares from YouTube Studio export</t>
        </is>
      </c>
    </row>
    <row r="60">
      <c r="A60" s="2" t="inlineStr">
        <is>
          <t>Besties | A Kehelmala Short Film</t>
        </is>
      </c>
      <c r="B60" s="2" t="inlineStr">
        <is>
          <t>YouTube</t>
        </is>
      </c>
      <c r="C60" s="6" t="n">
        <v>63030</v>
      </c>
      <c r="D60" s="7">
        <f>SUM(E60:G60)</f>
        <v/>
      </c>
      <c r="E60" s="6" t="n">
        <v>3127</v>
      </c>
      <c r="F60" s="6" t="n">
        <v>1297</v>
      </c>
      <c r="G60" s="6" t="n">
        <v>204</v>
      </c>
      <c r="H60" s="11">
        <f>IF(C60&gt;0,D60/C60,"")</f>
        <v/>
      </c>
      <c r="I60" s="12" t="n">
        <v>46293</v>
      </c>
      <c r="J60" s="3" t="inlineStr">
        <is>
          <t>YouTube Data API (yt_pull.py)</t>
        </is>
      </c>
      <c r="K60" s="3" t="inlineStr">
        <is>
          <t>Shares from YouTube Studio export</t>
        </is>
      </c>
    </row>
    <row r="61">
      <c r="A61" s="2" t="inlineStr">
        <is>
          <t>The Artiste</t>
        </is>
      </c>
      <c r="B61" s="2" t="inlineStr">
        <is>
          <t>YouTube</t>
        </is>
      </c>
      <c r="C61" s="6" t="n">
        <v>47799</v>
      </c>
      <c r="D61" s="7">
        <f>SUM(E61:G61)</f>
        <v/>
      </c>
      <c r="E61" s="6" t="n">
        <v>1274</v>
      </c>
      <c r="F61" s="6" t="n">
        <v>29</v>
      </c>
      <c r="G61" s="6" t="n">
        <v>15</v>
      </c>
      <c r="H61" s="11">
        <f>IF(C61&gt;0,D61/C61,"")</f>
        <v/>
      </c>
      <c r="I61" s="12" t="n">
        <v>46293</v>
      </c>
      <c r="J61" s="3" t="inlineStr">
        <is>
          <t>YouTube Data API (yt_pull.py)</t>
        </is>
      </c>
      <c r="K61" s="3" t="inlineStr">
        <is>
          <t>Shares from YouTube Studio export</t>
        </is>
      </c>
    </row>
    <row r="62">
      <c r="A62" s="2" t="inlineStr">
        <is>
          <t>Christmas Kiribath | A Kehelmala Short</t>
        </is>
      </c>
      <c r="B62" s="2" t="inlineStr">
        <is>
          <t>YouTube</t>
        </is>
      </c>
      <c r="C62" s="6" t="n">
        <v>67201</v>
      </c>
      <c r="D62" s="7">
        <f>SUM(E62:G62)</f>
        <v/>
      </c>
      <c r="E62" s="6" t="n">
        <v>2442</v>
      </c>
      <c r="F62" s="6" t="n">
        <v>173</v>
      </c>
      <c r="G62" s="6" t="n">
        <v>96</v>
      </c>
      <c r="H62" s="11">
        <f>IF(C62&gt;0,D62/C62,"")</f>
        <v/>
      </c>
      <c r="I62" s="12" t="n">
        <v>46293</v>
      </c>
      <c r="J62" s="3" t="inlineStr">
        <is>
          <t>YouTube Data API (yt_pull.py)</t>
        </is>
      </c>
      <c r="K62" s="3" t="inlineStr">
        <is>
          <t>Shares from YouTube Studio export</t>
        </is>
      </c>
    </row>
    <row r="63">
      <c r="A63" s="2" t="inlineStr">
        <is>
          <t>Fridge</t>
        </is>
      </c>
      <c r="B63" s="2" t="inlineStr">
        <is>
          <t>YouTube</t>
        </is>
      </c>
      <c r="C63" s="6" t="n">
        <v>48058</v>
      </c>
      <c r="D63" s="7">
        <f>SUM(E63:G63)</f>
        <v/>
      </c>
      <c r="E63" s="6" t="n">
        <v>2519</v>
      </c>
      <c r="F63" s="6" t="n">
        <v>178</v>
      </c>
      <c r="G63" s="6" t="n">
        <v>51</v>
      </c>
      <c r="H63" s="11">
        <f>IF(C63&gt;0,D63/C63,"")</f>
        <v/>
      </c>
      <c r="I63" s="12" t="n">
        <v>46293</v>
      </c>
      <c r="J63" s="3" t="inlineStr">
        <is>
          <t>YouTube Data API (yt_pull.py)</t>
        </is>
      </c>
      <c r="K63" s="3" t="inlineStr">
        <is>
          <t>Shares from YouTube Studio export</t>
        </is>
      </c>
    </row>
    <row r="64">
      <c r="A64" s="2" t="inlineStr">
        <is>
          <t>Day Out | A Kehelmala Short</t>
        </is>
      </c>
      <c r="B64" s="2" t="inlineStr">
        <is>
          <t>YouTube</t>
        </is>
      </c>
      <c r="C64" s="6" t="n">
        <v>56329</v>
      </c>
      <c r="D64" s="7">
        <f>SUM(E64:G64)</f>
        <v/>
      </c>
      <c r="E64" s="6" t="n">
        <v>2114</v>
      </c>
      <c r="F64" s="6" t="n">
        <v>132</v>
      </c>
      <c r="G64" s="6" t="n">
        <v>96</v>
      </c>
      <c r="H64" s="11">
        <f>IF(C64&gt;0,D64/C64,"")</f>
        <v/>
      </c>
      <c r="I64" s="12" t="n">
        <v>46293</v>
      </c>
      <c r="J64" s="3" t="inlineStr">
        <is>
          <t>YouTube Data API (yt_pull.py)</t>
        </is>
      </c>
      <c r="K64" s="3" t="inlineStr">
        <is>
          <t>Shares from YouTube Studio export</t>
        </is>
      </c>
    </row>
    <row r="65">
      <c r="A65" s="2" t="inlineStr">
        <is>
          <t>Memorise | A Kehelmala Short</t>
        </is>
      </c>
      <c r="B65" s="2" t="inlineStr">
        <is>
          <t>YouTube</t>
        </is>
      </c>
      <c r="C65" s="6" t="n">
        <v>53397</v>
      </c>
      <c r="D65" s="7">
        <f>SUM(E65:G65)</f>
        <v/>
      </c>
      <c r="E65" s="6" t="n">
        <v>1924</v>
      </c>
      <c r="F65" s="6" t="n">
        <v>334</v>
      </c>
      <c r="G65" s="6" t="n">
        <v>112</v>
      </c>
      <c r="H65" s="11">
        <f>IF(C65&gt;0,D65/C65,"")</f>
        <v/>
      </c>
      <c r="I65" s="12" t="n">
        <v>46293</v>
      </c>
      <c r="J65" s="3" t="inlineStr">
        <is>
          <t>YouTube Data API (yt_pull.py)</t>
        </is>
      </c>
      <c r="K65" s="3" t="inlineStr">
        <is>
          <t>Shares from YouTube Studio export</t>
        </is>
      </c>
    </row>
    <row r="66">
      <c r="A66" s="2" t="inlineStr">
        <is>
          <t>Blanket | A Kehelmala Short</t>
        </is>
      </c>
      <c r="B66" s="2" t="inlineStr">
        <is>
          <t>YouTube</t>
        </is>
      </c>
      <c r="C66" s="6" t="n">
        <v>33411</v>
      </c>
      <c r="D66" s="7">
        <f>SUM(E66:G66)</f>
        <v/>
      </c>
      <c r="E66" s="6" t="n">
        <v>1984</v>
      </c>
      <c r="F66" s="6" t="n">
        <v>150</v>
      </c>
      <c r="G66" s="6" t="n">
        <v>76</v>
      </c>
      <c r="H66" s="11">
        <f>IF(C66&gt;0,D66/C66,"")</f>
        <v/>
      </c>
      <c r="I66" s="12" t="n">
        <v>46293</v>
      </c>
      <c r="J66" s="3" t="inlineStr">
        <is>
          <t>YouTube Data API (yt_pull.py)</t>
        </is>
      </c>
      <c r="K66" s="3" t="inlineStr">
        <is>
          <t>Shares from YouTube Studio export</t>
        </is>
      </c>
    </row>
    <row r="67">
      <c r="A67" s="2" t="inlineStr">
        <is>
          <t>Eat! | A Kehelmala Short</t>
        </is>
      </c>
      <c r="B67" s="2" t="inlineStr">
        <is>
          <t>YouTube</t>
        </is>
      </c>
      <c r="C67" s="6" t="n">
        <v>26744</v>
      </c>
      <c r="D67" s="7">
        <f>SUM(E67:G67)</f>
        <v/>
      </c>
      <c r="E67" s="6" t="n">
        <v>1217</v>
      </c>
      <c r="F67" s="6" t="n">
        <v>73</v>
      </c>
      <c r="G67" s="6" t="n">
        <v>50</v>
      </c>
      <c r="H67" s="11">
        <f>IF(C67&gt;0,D67/C67,"")</f>
        <v/>
      </c>
      <c r="I67" s="12" t="n">
        <v>46293</v>
      </c>
      <c r="J67" s="3" t="inlineStr">
        <is>
          <t>YouTube Data API (yt_pull.py)</t>
        </is>
      </c>
      <c r="K67" s="3" t="inlineStr">
        <is>
          <t>Shares from YouTube Studio export</t>
        </is>
      </c>
    </row>
    <row r="68">
      <c r="A68" s="2" t="inlineStr">
        <is>
          <t>The Miracle</t>
        </is>
      </c>
      <c r="B68" s="2" t="inlineStr">
        <is>
          <t>YouTube</t>
        </is>
      </c>
      <c r="C68" s="6" t="n">
        <v>222932</v>
      </c>
      <c r="D68" s="7">
        <f>SUM(E68:G68)</f>
        <v/>
      </c>
      <c r="E68" s="6" t="n">
        <v>7751</v>
      </c>
      <c r="F68" s="6" t="n">
        <v>547</v>
      </c>
      <c r="G68" s="6" t="n">
        <v>106</v>
      </c>
      <c r="H68" s="11">
        <f>IF(C68&gt;0,D68/C68,"")</f>
        <v/>
      </c>
      <c r="I68" s="12" t="n">
        <v>46293</v>
      </c>
      <c r="J68" s="3" t="inlineStr">
        <is>
          <t>YouTube Data API (yt_pull.py)</t>
        </is>
      </c>
      <c r="K68" s="3" t="inlineStr">
        <is>
          <t>Shares from YouTube Studio export</t>
        </is>
      </c>
    </row>
    <row r="69">
      <c r="A69" s="2" t="inlineStr">
        <is>
          <t>Date Night | A Kehelmala Short</t>
        </is>
      </c>
      <c r="B69" s="2" t="inlineStr">
        <is>
          <t>YouTube</t>
        </is>
      </c>
      <c r="C69" s="6" t="n">
        <v>32194</v>
      </c>
      <c r="D69" s="7">
        <f>SUM(E69:G69)</f>
        <v/>
      </c>
      <c r="E69" s="6" t="n">
        <v>1251</v>
      </c>
      <c r="F69" s="6" t="n">
        <v>250</v>
      </c>
      <c r="G69" s="6" t="n">
        <v>57</v>
      </c>
      <c r="H69" s="11">
        <f>IF(C69&gt;0,D69/C69,"")</f>
        <v/>
      </c>
      <c r="I69" s="12" t="n">
        <v>46293</v>
      </c>
      <c r="J69" s="3" t="inlineStr">
        <is>
          <t>YouTube Data API (yt_pull.py)</t>
        </is>
      </c>
      <c r="K69" s="3" t="inlineStr">
        <is>
          <t>Shares from YouTube Studio export</t>
        </is>
      </c>
    </row>
    <row r="70">
      <c r="A70" s="2" t="inlineStr">
        <is>
          <t>The Farewell</t>
        </is>
      </c>
      <c r="B70" s="2" t="inlineStr">
        <is>
          <t>YouTube</t>
        </is>
      </c>
      <c r="C70" s="6" t="n">
        <v>80861</v>
      </c>
      <c r="D70" s="7">
        <f>SUM(E70:G70)</f>
        <v/>
      </c>
      <c r="E70" s="6" t="n">
        <v>2944</v>
      </c>
      <c r="F70" s="6" t="n">
        <v>194</v>
      </c>
      <c r="G70" s="6" t="n">
        <v>43</v>
      </c>
      <c r="H70" s="11">
        <f>IF(C70&gt;0,D70/C70,"")</f>
        <v/>
      </c>
      <c r="I70" s="12" t="n">
        <v>46293</v>
      </c>
      <c r="J70" s="3" t="inlineStr">
        <is>
          <t>YouTube Data API (yt_pull.py)</t>
        </is>
      </c>
      <c r="K70" s="3" t="inlineStr">
        <is>
          <t>Shares from YouTube Studio export</t>
        </is>
      </c>
    </row>
    <row r="71">
      <c r="A71" s="2" t="inlineStr">
        <is>
          <t>Fridge | A Kehelmala Short</t>
        </is>
      </c>
      <c r="B71" s="2" t="inlineStr">
        <is>
          <t>YouTube</t>
        </is>
      </c>
      <c r="C71" s="6" t="n">
        <v>87257</v>
      </c>
      <c r="D71" s="7">
        <f>SUM(E71:G71)</f>
        <v/>
      </c>
      <c r="E71" s="6" t="n">
        <v>3262</v>
      </c>
      <c r="F71" s="6" t="n">
        <v>993</v>
      </c>
      <c r="G71" s="6" t="n">
        <v>161</v>
      </c>
      <c r="H71" s="11">
        <f>IF(C71&gt;0,D71/C71,"")</f>
        <v/>
      </c>
      <c r="I71" s="12" t="n">
        <v>46293</v>
      </c>
      <c r="J71" s="3" t="inlineStr">
        <is>
          <t>YouTube Data API (yt_pull.py)</t>
        </is>
      </c>
      <c r="K71" s="3" t="inlineStr">
        <is>
          <t>Shares from YouTube Studio export</t>
        </is>
      </c>
    </row>
    <row r="72">
      <c r="A72" s="2" t="inlineStr">
        <is>
          <t>Gift Box, Pt 2</t>
        </is>
      </c>
      <c r="B72" s="2" t="inlineStr">
        <is>
          <t>YouTube</t>
        </is>
      </c>
      <c r="C72" s="6" t="n">
        <v>46275</v>
      </c>
      <c r="D72" s="7">
        <f>SUM(E72:G72)</f>
        <v/>
      </c>
      <c r="E72" s="6" t="n">
        <v>1487</v>
      </c>
      <c r="F72" s="6" t="n">
        <v>39</v>
      </c>
      <c r="G72" s="6" t="n">
        <v>23</v>
      </c>
      <c r="H72" s="11">
        <f>IF(C72&gt;0,D72/C72,"")</f>
        <v/>
      </c>
      <c r="I72" s="12" t="n">
        <v>46293</v>
      </c>
      <c r="J72" s="3" t="inlineStr">
        <is>
          <t>YouTube Data API (yt_pull.py)</t>
        </is>
      </c>
      <c r="K72" s="3" t="inlineStr">
        <is>
          <t>Shares from YouTube Studio export</t>
        </is>
      </c>
    </row>
    <row r="73">
      <c r="A73" s="2" t="inlineStr">
        <is>
          <t>Gift Box, Pt 1</t>
        </is>
      </c>
      <c r="B73" s="2" t="inlineStr">
        <is>
          <t>YouTube</t>
        </is>
      </c>
      <c r="C73" s="6" t="n">
        <v>92078</v>
      </c>
      <c r="D73" s="7">
        <f>SUM(E73:G73)</f>
        <v/>
      </c>
      <c r="E73" s="6" t="n">
        <v>2474</v>
      </c>
      <c r="F73" s="6" t="n">
        <v>128</v>
      </c>
      <c r="G73" s="6" t="n">
        <v>39</v>
      </c>
      <c r="H73" s="11">
        <f>IF(C73&gt;0,D73/C73,"")</f>
        <v/>
      </c>
      <c r="I73" s="12" t="n">
        <v>46293</v>
      </c>
      <c r="J73" s="3" t="inlineStr">
        <is>
          <t>YouTube Data API (yt_pull.py)</t>
        </is>
      </c>
      <c r="K73" s="3" t="inlineStr">
        <is>
          <t>Shares from YouTube Studio export</t>
        </is>
      </c>
    </row>
    <row r="74">
      <c r="A74" s="2" t="inlineStr">
        <is>
          <t>Siblings | A Kehelmala Short</t>
        </is>
      </c>
      <c r="B74" s="2" t="inlineStr">
        <is>
          <t>YouTube</t>
        </is>
      </c>
      <c r="C74" s="6" t="n">
        <v>336631</v>
      </c>
      <c r="D74" s="7">
        <f>SUM(E74:G74)</f>
        <v/>
      </c>
      <c r="E74" s="6" t="n">
        <v>5004</v>
      </c>
      <c r="F74" s="6" t="n">
        <v>498</v>
      </c>
      <c r="G74" s="6" t="n">
        <v>156</v>
      </c>
      <c r="H74" s="11">
        <f>IF(C74&gt;0,D74/C74,"")</f>
        <v/>
      </c>
      <c r="I74" s="12" t="n">
        <v>46293</v>
      </c>
      <c r="J74" s="3" t="inlineStr">
        <is>
          <t>YouTube Data API (yt_pull.py)</t>
        </is>
      </c>
      <c r="K74" s="3" t="inlineStr">
        <is>
          <t>Shares from YouTube Studio export</t>
        </is>
      </c>
    </row>
    <row r="75">
      <c r="A75" s="2" t="inlineStr">
        <is>
          <t>Bro!</t>
        </is>
      </c>
      <c r="B75" s="2" t="inlineStr">
        <is>
          <t>YouTube</t>
        </is>
      </c>
      <c r="C75" s="6" t="n">
        <v>43382</v>
      </c>
      <c r="D75" s="7">
        <f>SUM(E75:G75)</f>
        <v/>
      </c>
      <c r="E75" s="6" t="n">
        <v>1713</v>
      </c>
      <c r="F75" s="6" t="n">
        <v>54</v>
      </c>
      <c r="G75" s="6" t="n">
        <v>22</v>
      </c>
      <c r="H75" s="11">
        <f>IF(C75&gt;0,D75/C75,"")</f>
        <v/>
      </c>
      <c r="I75" s="12" t="n">
        <v>46293</v>
      </c>
      <c r="J75" s="3" t="inlineStr">
        <is>
          <t>YouTube Data API (yt_pull.py)</t>
        </is>
      </c>
      <c r="K75" s="3" t="inlineStr">
        <is>
          <t>Shares from YouTube Studio export</t>
        </is>
      </c>
    </row>
    <row r="76">
      <c r="A76" s="2" t="inlineStr">
        <is>
          <t>Pinipa! | A Kehelmala Short</t>
        </is>
      </c>
      <c r="B76" s="2" t="inlineStr">
        <is>
          <t>YouTube</t>
        </is>
      </c>
      <c r="C76" s="6" t="n">
        <v>46362</v>
      </c>
      <c r="D76" s="7">
        <f>SUM(E76:G76)</f>
        <v/>
      </c>
      <c r="E76" s="6" t="n">
        <v>1762</v>
      </c>
      <c r="F76" s="6" t="n">
        <v>526</v>
      </c>
      <c r="G76" s="6" t="n">
        <v>250</v>
      </c>
      <c r="H76" s="11">
        <f>IF(C76&gt;0,D76/C76,"")</f>
        <v/>
      </c>
      <c r="I76" s="12" t="n">
        <v>46293</v>
      </c>
      <c r="J76" s="3" t="inlineStr">
        <is>
          <t>YouTube Data API (yt_pull.py)</t>
        </is>
      </c>
      <c r="K76" s="3" t="inlineStr">
        <is>
          <t>Shares from YouTube Studio export</t>
        </is>
      </c>
    </row>
    <row r="77">
      <c r="A77" s="2" t="inlineStr">
        <is>
          <t>Graduation</t>
        </is>
      </c>
      <c r="B77" s="2" t="inlineStr">
        <is>
          <t>YouTube</t>
        </is>
      </c>
      <c r="C77" s="6" t="n">
        <v>28858</v>
      </c>
      <c r="D77" s="7">
        <f>SUM(E77:G77)</f>
        <v/>
      </c>
      <c r="E77" s="6" t="n">
        <v>917</v>
      </c>
      <c r="F77" s="6" t="n">
        <v>28</v>
      </c>
      <c r="G77" s="6" t="n">
        <v>22</v>
      </c>
      <c r="H77" s="11">
        <f>IF(C77&gt;0,D77/C77,"")</f>
        <v/>
      </c>
      <c r="I77" s="12" t="n">
        <v>46293</v>
      </c>
      <c r="J77" s="3" t="inlineStr">
        <is>
          <t>YouTube Data API (yt_pull.py)</t>
        </is>
      </c>
      <c r="K77" s="3" t="inlineStr">
        <is>
          <t>Shares from YouTube Studio export</t>
        </is>
      </c>
    </row>
    <row r="78">
      <c r="A78" s="2" t="inlineStr">
        <is>
          <t>The Interview | A Kehelmala Short</t>
        </is>
      </c>
      <c r="B78" s="2" t="inlineStr">
        <is>
          <t>YouTube</t>
        </is>
      </c>
      <c r="C78" s="6" t="n">
        <v>52989</v>
      </c>
      <c r="D78" s="7">
        <f>SUM(E78:G78)</f>
        <v/>
      </c>
      <c r="E78" s="6" t="n">
        <v>2236</v>
      </c>
      <c r="F78" s="6" t="n">
        <v>151</v>
      </c>
      <c r="G78" s="6" t="n">
        <v>209</v>
      </c>
      <c r="H78" s="11">
        <f>IF(C78&gt;0,D78/C78,"")</f>
        <v/>
      </c>
      <c r="I78" s="12" t="n">
        <v>46293</v>
      </c>
      <c r="J78" s="3" t="inlineStr">
        <is>
          <t>YouTube Data API (yt_pull.py)</t>
        </is>
      </c>
      <c r="K78" s="3" t="inlineStr">
        <is>
          <t>Shares from YouTube Studio export</t>
        </is>
      </c>
    </row>
    <row r="79">
      <c r="A79" s="2" t="inlineStr">
        <is>
          <t>Miss</t>
        </is>
      </c>
      <c r="B79" s="2" t="inlineStr">
        <is>
          <t>YouTube</t>
        </is>
      </c>
      <c r="C79" s="6" t="n">
        <v>31335</v>
      </c>
      <c r="D79" s="7">
        <f>SUM(E79:G79)</f>
        <v/>
      </c>
      <c r="E79" s="6" t="n">
        <v>898</v>
      </c>
      <c r="F79" s="6" t="n">
        <v>73</v>
      </c>
      <c r="G79" s="6" t="n">
        <v>20</v>
      </c>
      <c r="H79" s="11">
        <f>IF(C79&gt;0,D79/C79,"")</f>
        <v/>
      </c>
      <c r="I79" s="12" t="n">
        <v>46293</v>
      </c>
      <c r="J79" s="3" t="inlineStr">
        <is>
          <t>YouTube Data API (yt_pull.py)</t>
        </is>
      </c>
      <c r="K79" s="3" t="inlineStr">
        <is>
          <t>Shares from YouTube Studio export</t>
        </is>
      </c>
    </row>
    <row r="80">
      <c r="A80" s="2" t="inlineStr">
        <is>
          <t>A Special Day | A Kehelmala Short</t>
        </is>
      </c>
      <c r="B80" s="2" t="inlineStr">
        <is>
          <t>YouTube</t>
        </is>
      </c>
      <c r="C80" s="6" t="n">
        <v>114795</v>
      </c>
      <c r="D80" s="7">
        <f>SUM(E80:G80)</f>
        <v/>
      </c>
      <c r="E80" s="6" t="n">
        <v>3232</v>
      </c>
      <c r="F80" s="6" t="n">
        <v>368</v>
      </c>
      <c r="G80" s="6" t="n">
        <v>153</v>
      </c>
      <c r="H80" s="11">
        <f>IF(C80&gt;0,D80/C80,"")</f>
        <v/>
      </c>
      <c r="I80" s="12" t="n">
        <v>46293</v>
      </c>
      <c r="J80" s="3" t="inlineStr">
        <is>
          <t>YouTube Data API (yt_pull.py)</t>
        </is>
      </c>
      <c r="K80" s="3" t="inlineStr">
        <is>
          <t>Shares from YouTube Studio export</t>
        </is>
      </c>
    </row>
    <row r="81">
      <c r="A81" s="2" t="inlineStr">
        <is>
          <t>Gift</t>
        </is>
      </c>
      <c r="B81" s="2" t="inlineStr">
        <is>
          <t>YouTube</t>
        </is>
      </c>
      <c r="C81" s="6" t="n">
        <v>261650</v>
      </c>
      <c r="D81" s="7">
        <f>SUM(E81:G81)</f>
        <v/>
      </c>
      <c r="E81" s="6" t="n">
        <v>6742</v>
      </c>
      <c r="F81" s="6" t="n">
        <v>158</v>
      </c>
      <c r="G81" s="6" t="n">
        <v>45</v>
      </c>
      <c r="H81" s="11">
        <f>IF(C81&gt;0,D81/C81,"")</f>
        <v/>
      </c>
      <c r="I81" s="12" t="n">
        <v>46293</v>
      </c>
      <c r="J81" s="3" t="inlineStr">
        <is>
          <t>YouTube Data API (yt_pull.py)</t>
        </is>
      </c>
      <c r="K81" s="3" t="inlineStr">
        <is>
          <t>Shares from YouTube Studio export</t>
        </is>
      </c>
    </row>
    <row r="82">
      <c r="A82" s="2" t="inlineStr">
        <is>
          <t>Sneaking In | A Kehelmala Short</t>
        </is>
      </c>
      <c r="B82" s="2" t="inlineStr">
        <is>
          <t>YouTube</t>
        </is>
      </c>
      <c r="C82" s="6" t="n">
        <v>1539589</v>
      </c>
      <c r="D82" s="7">
        <f>SUM(E82:G82)</f>
        <v/>
      </c>
      <c r="E82" s="6" t="n">
        <v>7417</v>
      </c>
      <c r="F82" s="6" t="n">
        <v>2774</v>
      </c>
      <c r="G82" s="6" t="n">
        <v>495</v>
      </c>
      <c r="H82" s="11">
        <f>IF(C82&gt;0,D82/C82,"")</f>
        <v/>
      </c>
      <c r="I82" s="12" t="n">
        <v>46293</v>
      </c>
      <c r="J82" s="3" t="inlineStr">
        <is>
          <t>YouTube Data API (yt_pull.py)</t>
        </is>
      </c>
      <c r="K82" s="3" t="inlineStr">
        <is>
          <t>Shares from YouTube Studio export</t>
        </is>
      </c>
    </row>
    <row r="83">
      <c r="A83" s="2" t="inlineStr">
        <is>
          <t>Remains</t>
        </is>
      </c>
      <c r="B83" s="2" t="inlineStr">
        <is>
          <t>YouTube</t>
        </is>
      </c>
      <c r="C83" s="6" t="n">
        <v>61814</v>
      </c>
      <c r="D83" s="7">
        <f>SUM(E83:G83)</f>
        <v/>
      </c>
      <c r="E83" s="6" t="n">
        <v>2361</v>
      </c>
      <c r="F83" s="6" t="n">
        <v>28</v>
      </c>
      <c r="G83" s="6" t="n">
        <v>31</v>
      </c>
      <c r="H83" s="11">
        <f>IF(C83&gt;0,D83/C83,"")</f>
        <v/>
      </c>
      <c r="I83" s="12" t="n">
        <v>46293</v>
      </c>
      <c r="J83" s="3" t="inlineStr">
        <is>
          <t>YouTube Data API (yt_pull.py)</t>
        </is>
      </c>
      <c r="K83" s="3" t="inlineStr">
        <is>
          <t>Shares from YouTube Studio export</t>
        </is>
      </c>
    </row>
    <row r="84">
      <c r="A84" s="2" t="inlineStr">
        <is>
          <t>The Fit | A Kehelmala Short</t>
        </is>
      </c>
      <c r="B84" s="2" t="inlineStr">
        <is>
          <t>YouTube</t>
        </is>
      </c>
      <c r="C84" s="6" t="n">
        <v>32449</v>
      </c>
      <c r="D84" s="7">
        <f>SUM(E84:G84)</f>
        <v/>
      </c>
      <c r="E84" s="6" t="n">
        <v>1112</v>
      </c>
      <c r="F84" s="6" t="n">
        <v>51</v>
      </c>
      <c r="G84" s="6" t="n">
        <v>38</v>
      </c>
      <c r="H84" s="11">
        <f>IF(C84&gt;0,D84/C84,"")</f>
        <v/>
      </c>
      <c r="I84" s="12" t="n">
        <v>46293</v>
      </c>
      <c r="J84" s="3" t="inlineStr">
        <is>
          <t>YouTube Data API (yt_pull.py)</t>
        </is>
      </c>
      <c r="K84" s="3" t="inlineStr">
        <is>
          <t>Shares from YouTube Studio export</t>
        </is>
      </c>
    </row>
    <row r="85">
      <c r="A85" s="2" t="inlineStr">
        <is>
          <t>Breakup</t>
        </is>
      </c>
      <c r="B85" s="2" t="inlineStr">
        <is>
          <t>YouTube</t>
        </is>
      </c>
      <c r="C85" s="6" t="n">
        <v>257783</v>
      </c>
      <c r="D85" s="7">
        <f>SUM(E85:G85)</f>
        <v/>
      </c>
      <c r="E85" s="6" t="n">
        <v>10267</v>
      </c>
      <c r="F85" s="6" t="n">
        <v>302</v>
      </c>
      <c r="G85" s="6" t="n">
        <v>69</v>
      </c>
      <c r="H85" s="11">
        <f>IF(C85&gt;0,D85/C85,"")</f>
        <v/>
      </c>
      <c r="I85" s="12" t="n">
        <v>46293</v>
      </c>
      <c r="J85" s="3" t="inlineStr">
        <is>
          <t>YouTube Data API (yt_pull.py)</t>
        </is>
      </c>
      <c r="K85" s="3" t="inlineStr">
        <is>
          <t>Shares from YouTube Studio export</t>
        </is>
      </c>
    </row>
    <row r="86">
      <c r="A86" s="2" t="inlineStr">
        <is>
          <t>Visitor</t>
        </is>
      </c>
      <c r="B86" s="2" t="inlineStr">
        <is>
          <t>YouTube</t>
        </is>
      </c>
      <c r="C86" s="6" t="n">
        <v>26035</v>
      </c>
      <c r="D86" s="7">
        <f>SUM(E86:G86)</f>
        <v/>
      </c>
      <c r="E86" s="6" t="n">
        <v>577</v>
      </c>
      <c r="F86" s="6" t="n">
        <v>18</v>
      </c>
      <c r="G86" s="6" t="n">
        <v>10</v>
      </c>
      <c r="H86" s="11">
        <f>IF(C86&gt;0,D86/C86,"")</f>
        <v/>
      </c>
      <c r="I86" s="12" t="n">
        <v>46293</v>
      </c>
      <c r="J86" s="3" t="inlineStr">
        <is>
          <t>YouTube Data API (yt_pull.py)</t>
        </is>
      </c>
      <c r="K86" s="3" t="inlineStr">
        <is>
          <t>Shares from YouTube Studio export</t>
        </is>
      </c>
    </row>
    <row r="87">
      <c r="A87" s="2" t="inlineStr">
        <is>
          <t>Visitor | A Kehelmala Short</t>
        </is>
      </c>
      <c r="B87" s="2" t="inlineStr">
        <is>
          <t>YouTube</t>
        </is>
      </c>
      <c r="C87" s="6" t="n">
        <v>11863</v>
      </c>
      <c r="D87" s="7">
        <f>SUM(E87:G87)</f>
        <v/>
      </c>
      <c r="E87" s="6" t="n">
        <v>463</v>
      </c>
      <c r="F87" s="6" t="n">
        <v>53</v>
      </c>
      <c r="G87" s="6" t="n">
        <v>27</v>
      </c>
      <c r="H87" s="11">
        <f>IF(C87&gt;0,D87/C87,"")</f>
        <v/>
      </c>
      <c r="I87" s="12" t="n">
        <v>46293</v>
      </c>
      <c r="J87" s="3" t="inlineStr">
        <is>
          <t>YouTube Data API (yt_pull.py)</t>
        </is>
      </c>
      <c r="K87" s="3" t="inlineStr">
        <is>
          <t>Shares from YouTube Studio export</t>
        </is>
      </c>
    </row>
    <row r="88">
      <c r="A88" s="2" t="inlineStr">
        <is>
          <t>The Room</t>
        </is>
      </c>
      <c r="B88" s="2" t="inlineStr">
        <is>
          <t>YouTube</t>
        </is>
      </c>
      <c r="C88" s="6" t="n">
        <v>97359</v>
      </c>
      <c r="D88" s="7">
        <f>SUM(E88:G88)</f>
        <v/>
      </c>
      <c r="E88" s="6" t="n">
        <v>2870</v>
      </c>
      <c r="F88" s="6" t="n">
        <v>159</v>
      </c>
      <c r="G88" s="6" t="n">
        <v>33</v>
      </c>
      <c r="H88" s="11">
        <f>IF(C88&gt;0,D88/C88,"")</f>
        <v/>
      </c>
      <c r="I88" s="12" t="n">
        <v>46293</v>
      </c>
      <c r="J88" s="3" t="inlineStr">
        <is>
          <t>YouTube Data API (yt_pull.py)</t>
        </is>
      </c>
      <c r="K88" s="3" t="inlineStr">
        <is>
          <t>Shares from YouTube Studio export</t>
        </is>
      </c>
    </row>
    <row r="89">
      <c r="A89" s="2" t="inlineStr">
        <is>
          <t>The Room | A Kehelmala Short</t>
        </is>
      </c>
      <c r="B89" s="2" t="inlineStr">
        <is>
          <t>YouTube</t>
        </is>
      </c>
      <c r="C89" s="6" t="n">
        <v>41753</v>
      </c>
      <c r="D89" s="7">
        <f>SUM(E89:G89)</f>
        <v/>
      </c>
      <c r="E89" s="6" t="n">
        <v>1213</v>
      </c>
      <c r="F89" s="6" t="n">
        <v>197</v>
      </c>
      <c r="G89" s="6" t="n">
        <v>54</v>
      </c>
      <c r="H89" s="11">
        <f>IF(C89&gt;0,D89/C89,"")</f>
        <v/>
      </c>
      <c r="I89" s="12" t="n">
        <v>46293</v>
      </c>
      <c r="J89" s="3" t="inlineStr">
        <is>
          <t>YouTube Data API (yt_pull.py)</t>
        </is>
      </c>
      <c r="K89" s="3" t="inlineStr">
        <is>
          <t>Shares from YouTube Studio export</t>
        </is>
      </c>
    </row>
    <row r="90">
      <c r="A90" s="2" t="inlineStr">
        <is>
          <t>Catfight | A Kehelmala Short</t>
        </is>
      </c>
      <c r="B90" s="2" t="inlineStr">
        <is>
          <t>YouTube</t>
        </is>
      </c>
      <c r="C90" s="6" t="n">
        <v>80856</v>
      </c>
      <c r="D90" s="7">
        <f>SUM(E90:G90)</f>
        <v/>
      </c>
      <c r="E90" s="6" t="n">
        <v>1228</v>
      </c>
      <c r="F90" s="6" t="n">
        <v>339</v>
      </c>
      <c r="G90" s="6" t="n">
        <v>79</v>
      </c>
      <c r="H90" s="11">
        <f>IF(C90&gt;0,D90/C90,"")</f>
        <v/>
      </c>
      <c r="I90" s="12" t="n">
        <v>46293</v>
      </c>
      <c r="J90" s="3" t="inlineStr">
        <is>
          <t>YouTube Data API (yt_pull.py)</t>
        </is>
      </c>
      <c r="K90" s="3" t="inlineStr">
        <is>
          <t>Shares from YouTube Studio export</t>
        </is>
      </c>
    </row>
    <row r="91">
      <c r="A91" s="2" t="inlineStr">
        <is>
          <t>Catfight</t>
        </is>
      </c>
      <c r="B91" s="2" t="inlineStr">
        <is>
          <t>YouTube</t>
        </is>
      </c>
      <c r="C91" s="6" t="n">
        <v>34127</v>
      </c>
      <c r="D91" s="7">
        <f>SUM(E91:G91)</f>
        <v/>
      </c>
      <c r="E91" s="6" t="n">
        <v>1425</v>
      </c>
      <c r="F91" s="6" t="n">
        <v>174</v>
      </c>
      <c r="G91" s="6" t="n">
        <v>56</v>
      </c>
      <c r="H91" s="11">
        <f>IF(C91&gt;0,D91/C91,"")</f>
        <v/>
      </c>
      <c r="I91" s="12" t="n">
        <v>46293</v>
      </c>
      <c r="J91" s="3" t="inlineStr">
        <is>
          <t>YouTube Data API (yt_pull.py)</t>
        </is>
      </c>
      <c r="K91" s="3" t="inlineStr">
        <is>
          <t>Shares from YouTube Studio export</t>
        </is>
      </c>
    </row>
    <row r="92">
      <c r="A92" s="2" t="inlineStr">
        <is>
          <t>New Boy</t>
        </is>
      </c>
      <c r="B92" s="2" t="inlineStr">
        <is>
          <t>YouTube</t>
        </is>
      </c>
      <c r="C92" s="6" t="n">
        <v>631913</v>
      </c>
      <c r="D92" s="7">
        <f>SUM(E92:G92)</f>
        <v/>
      </c>
      <c r="E92" s="6" t="n">
        <v>15528</v>
      </c>
      <c r="F92" s="6" t="n">
        <v>1325</v>
      </c>
      <c r="G92" s="6" t="n">
        <v>157</v>
      </c>
      <c r="H92" s="11">
        <f>IF(C92&gt;0,D92/C92,"")</f>
        <v/>
      </c>
      <c r="I92" s="12" t="n">
        <v>46293</v>
      </c>
      <c r="J92" s="3" t="inlineStr">
        <is>
          <t>YouTube Data API (yt_pull.py)</t>
        </is>
      </c>
      <c r="K92" s="3" t="inlineStr">
        <is>
          <t>Shares from YouTube Studio export</t>
        </is>
      </c>
    </row>
    <row r="93">
      <c r="A93" s="2" t="inlineStr">
        <is>
          <t>Lunchtime | A Kehelmala Short</t>
        </is>
      </c>
      <c r="B93" s="2" t="inlineStr">
        <is>
          <t>YouTube</t>
        </is>
      </c>
      <c r="C93" s="6" t="n">
        <v>32335</v>
      </c>
      <c r="D93" s="7">
        <f>SUM(E93:G93)</f>
        <v/>
      </c>
      <c r="E93" s="6" t="n">
        <v>862</v>
      </c>
      <c r="F93" s="6" t="n">
        <v>121</v>
      </c>
      <c r="G93" s="6" t="n">
        <v>51</v>
      </c>
      <c r="H93" s="11">
        <f>IF(C93&gt;0,D93/C93,"")</f>
        <v/>
      </c>
      <c r="I93" s="12" t="n">
        <v>46293</v>
      </c>
      <c r="J93" s="3" t="inlineStr">
        <is>
          <t>YouTube Data API (yt_pull.py)</t>
        </is>
      </c>
      <c r="K93" s="3" t="inlineStr">
        <is>
          <t>Shares from YouTube Studio export</t>
        </is>
      </c>
    </row>
    <row r="94">
      <c r="A94" s="2" t="inlineStr">
        <is>
          <t>Lunchtime | A Kehelmala Short</t>
        </is>
      </c>
      <c r="B94" s="2" t="inlineStr">
        <is>
          <t>YouTube</t>
        </is>
      </c>
      <c r="C94" s="6" t="n">
        <v>175323</v>
      </c>
      <c r="D94" s="7">
        <f>SUM(E94:G94)</f>
        <v/>
      </c>
      <c r="E94" s="6" t="n">
        <v>6043</v>
      </c>
      <c r="F94" s="6" t="n">
        <v>313</v>
      </c>
      <c r="G94" s="6" t="n">
        <v>106</v>
      </c>
      <c r="H94" s="11">
        <f>IF(C94&gt;0,D94/C94,"")</f>
        <v/>
      </c>
      <c r="I94" s="12" t="n">
        <v>46293</v>
      </c>
      <c r="J94" s="3" t="inlineStr">
        <is>
          <t>YouTube Data API (yt_pull.py)</t>
        </is>
      </c>
      <c r="K94" s="3" t="inlineStr">
        <is>
          <t>Shares from YouTube Studio export</t>
        </is>
      </c>
    </row>
    <row r="95">
      <c r="A95" s="2" t="inlineStr">
        <is>
          <t>The Fault in our Prints</t>
        </is>
      </c>
      <c r="B95" s="2" t="inlineStr">
        <is>
          <t>YouTube</t>
        </is>
      </c>
      <c r="C95" s="6" t="n">
        <v>95035</v>
      </c>
      <c r="D95" s="7">
        <f>SUM(E95:G95)</f>
        <v/>
      </c>
      <c r="E95" s="6" t="n">
        <v>3569</v>
      </c>
      <c r="F95" s="6" t="n">
        <v>946</v>
      </c>
      <c r="G95" s="6" t="n">
        <v>129</v>
      </c>
      <c r="H95" s="11">
        <f>IF(C95&gt;0,D95/C95,"")</f>
        <v/>
      </c>
      <c r="I95" s="12" t="n">
        <v>46293</v>
      </c>
      <c r="J95" s="3" t="inlineStr">
        <is>
          <t>YouTube Data API (yt_pull.py)</t>
        </is>
      </c>
      <c r="K95" s="3" t="inlineStr">
        <is>
          <t>Shares from YouTube Studio export</t>
        </is>
      </c>
    </row>
    <row r="96">
      <c r="A96" s="2" t="inlineStr">
        <is>
          <t>Spittoon | A Kehelmala Short</t>
        </is>
      </c>
      <c r="B96" s="2" t="inlineStr">
        <is>
          <t>YouTube</t>
        </is>
      </c>
      <c r="C96" s="6" t="n">
        <v>22698</v>
      </c>
      <c r="D96" s="7">
        <f>SUM(E96:G96)</f>
        <v/>
      </c>
      <c r="E96" s="6" t="n">
        <v>1128</v>
      </c>
      <c r="F96" s="6" t="n">
        <v>128</v>
      </c>
      <c r="G96" s="6" t="n">
        <v>46</v>
      </c>
      <c r="H96" s="11">
        <f>IF(C96&gt;0,D96/C96,"")</f>
        <v/>
      </c>
      <c r="I96" s="12" t="n">
        <v>46293</v>
      </c>
      <c r="J96" s="3" t="inlineStr">
        <is>
          <t>YouTube Data API (yt_pull.py)</t>
        </is>
      </c>
      <c r="K96" s="3" t="inlineStr">
        <is>
          <t>Shares from YouTube Studio export</t>
        </is>
      </c>
    </row>
    <row r="97">
      <c r="A97" s="2" t="inlineStr">
        <is>
          <t>Spittoon</t>
        </is>
      </c>
      <c r="B97" s="2" t="inlineStr">
        <is>
          <t>YouTube</t>
        </is>
      </c>
      <c r="C97" s="6" t="n">
        <v>27029</v>
      </c>
      <c r="D97" s="7">
        <f>SUM(E97:G97)</f>
        <v/>
      </c>
      <c r="E97" s="6" t="n">
        <v>981</v>
      </c>
      <c r="F97" s="6" t="n">
        <v>45</v>
      </c>
      <c r="G97" s="6" t="n">
        <v>35</v>
      </c>
      <c r="H97" s="11">
        <f>IF(C97&gt;0,D97/C97,"")</f>
        <v/>
      </c>
      <c r="I97" s="12" t="n">
        <v>46293</v>
      </c>
      <c r="J97" s="3" t="inlineStr">
        <is>
          <t>YouTube Data API (yt_pull.py)</t>
        </is>
      </c>
      <c r="K97" s="3" t="inlineStr">
        <is>
          <t>Shares from YouTube Studio export</t>
        </is>
      </c>
    </row>
    <row r="98">
      <c r="A98" s="2" t="inlineStr">
        <is>
          <t>Breakup | A Kehelmala Short</t>
        </is>
      </c>
      <c r="B98" s="2" t="inlineStr">
        <is>
          <t>YouTube</t>
        </is>
      </c>
      <c r="C98" s="6" t="n">
        <v>69644</v>
      </c>
      <c r="D98" s="7">
        <f>SUM(E98:G98)</f>
        <v/>
      </c>
      <c r="E98" s="6" t="n">
        <v>3387</v>
      </c>
      <c r="F98" s="6" t="n">
        <v>385</v>
      </c>
      <c r="G98" s="6" t="n">
        <v>119</v>
      </c>
      <c r="H98" s="11">
        <f>IF(C98&gt;0,D98/C98,"")</f>
        <v/>
      </c>
      <c r="I98" s="12" t="n">
        <v>46293</v>
      </c>
      <c r="J98" s="3" t="inlineStr">
        <is>
          <t>YouTube Data API (yt_pull.py)</t>
        </is>
      </c>
      <c r="K98" s="3" t="inlineStr">
        <is>
          <t>Shares from YouTube Studio export</t>
        </is>
      </c>
    </row>
    <row r="99">
      <c r="A99" s="2" t="inlineStr">
        <is>
          <t>Human Resources</t>
        </is>
      </c>
      <c r="B99" s="2" t="inlineStr">
        <is>
          <t>YouTube</t>
        </is>
      </c>
      <c r="C99" s="6" t="n">
        <v>26351</v>
      </c>
      <c r="D99" s="7">
        <f>SUM(E99:G99)</f>
        <v/>
      </c>
      <c r="E99" s="6" t="n">
        <v>841</v>
      </c>
      <c r="F99" s="6" t="n">
        <v>32</v>
      </c>
      <c r="G99" s="6" t="n">
        <v>14</v>
      </c>
      <c r="H99" s="11">
        <f>IF(C99&gt;0,D99/C99,"")</f>
        <v/>
      </c>
      <c r="I99" s="12" t="n">
        <v>46293</v>
      </c>
      <c r="J99" s="3" t="inlineStr">
        <is>
          <t>YouTube Data API (yt_pull.py)</t>
        </is>
      </c>
      <c r="K99" s="3" t="inlineStr">
        <is>
          <t>Shares from YouTube Studio export</t>
        </is>
      </c>
    </row>
    <row r="100">
      <c r="A100" s="2" t="inlineStr">
        <is>
          <t>Daylight</t>
        </is>
      </c>
      <c r="B100" s="2" t="inlineStr">
        <is>
          <t>YouTube</t>
        </is>
      </c>
      <c r="C100" s="6" t="n">
        <v>34329</v>
      </c>
      <c r="D100" s="7">
        <f>SUM(E100:G100)</f>
        <v/>
      </c>
      <c r="E100" s="6" t="n">
        <v>1150</v>
      </c>
      <c r="F100" s="6" t="n">
        <v>21</v>
      </c>
      <c r="G100" s="6" t="n">
        <v>20</v>
      </c>
      <c r="H100" s="11">
        <f>IF(C100&gt;0,D100/C100,"")</f>
        <v/>
      </c>
      <c r="I100" s="12" t="n">
        <v>46293</v>
      </c>
      <c r="J100" s="3" t="inlineStr">
        <is>
          <t>YouTube Data API (yt_pull.py)</t>
        </is>
      </c>
      <c r="K100" s="3" t="inlineStr">
        <is>
          <t>Shares from YouTube Studio export</t>
        </is>
      </c>
    </row>
    <row r="101">
      <c r="A101" s="2" t="inlineStr">
        <is>
          <t>Daylight | A Kehelmala Short</t>
        </is>
      </c>
      <c r="B101" s="2" t="inlineStr">
        <is>
          <t>YouTube</t>
        </is>
      </c>
      <c r="C101" s="6" t="n">
        <v>33727</v>
      </c>
      <c r="D101" s="7">
        <f>SUM(E101:G101)</f>
        <v/>
      </c>
      <c r="E101" s="6" t="n">
        <v>918</v>
      </c>
      <c r="F101" s="6" t="n">
        <v>85</v>
      </c>
      <c r="G101" s="6" t="n">
        <v>100</v>
      </c>
      <c r="H101" s="11">
        <f>IF(C101&gt;0,D101/C101,"")</f>
        <v/>
      </c>
      <c r="I101" s="12" t="n">
        <v>46293</v>
      </c>
      <c r="J101" s="3" t="inlineStr">
        <is>
          <t>YouTube Data API (yt_pull.py)</t>
        </is>
      </c>
      <c r="K101" s="3" t="inlineStr">
        <is>
          <t>Shares from YouTube Studio export</t>
        </is>
      </c>
    </row>
    <row r="102">
      <c r="A102" s="2" t="inlineStr">
        <is>
          <t>Gift | A Kehelmala Short</t>
        </is>
      </c>
      <c r="B102" s="2" t="inlineStr">
        <is>
          <t>YouTube</t>
        </is>
      </c>
      <c r="C102" s="6" t="n">
        <v>43762</v>
      </c>
      <c r="D102" s="7">
        <f>SUM(E102:G102)</f>
        <v/>
      </c>
      <c r="E102" s="6" t="n">
        <v>1397</v>
      </c>
      <c r="F102" s="6" t="n">
        <v>126</v>
      </c>
      <c r="G102" s="6" t="n">
        <v>77</v>
      </c>
      <c r="H102" s="11">
        <f>IF(C102&gt;0,D102/C102,"")</f>
        <v/>
      </c>
      <c r="I102" s="12" t="n">
        <v>46293</v>
      </c>
      <c r="J102" s="3" t="inlineStr">
        <is>
          <t>YouTube Data API (yt_pull.py)</t>
        </is>
      </c>
      <c r="K102" s="3" t="inlineStr">
        <is>
          <t>Shares from YouTube Studio export</t>
        </is>
      </c>
    </row>
    <row r="103">
      <c r="A103" s="2" t="inlineStr">
        <is>
          <t>Interrogation (Wrong Number 2)</t>
        </is>
      </c>
      <c r="B103" s="2" t="inlineStr">
        <is>
          <t>YouTube</t>
        </is>
      </c>
      <c r="C103" s="6" t="n">
        <v>29151</v>
      </c>
      <c r="D103" s="7">
        <f>SUM(E103:G103)</f>
        <v/>
      </c>
      <c r="E103" s="6" t="n">
        <v>736</v>
      </c>
      <c r="F103" s="6" t="n">
        <v>63</v>
      </c>
      <c r="G103" s="6" t="n">
        <v>30</v>
      </c>
      <c r="H103" s="11">
        <f>IF(C103&gt;0,D103/C103,"")</f>
        <v/>
      </c>
      <c r="I103" s="12" t="n">
        <v>46293</v>
      </c>
      <c r="J103" s="3" t="inlineStr">
        <is>
          <t>YouTube Data API (yt_pull.py)</t>
        </is>
      </c>
      <c r="K103" s="3" t="inlineStr">
        <is>
          <t>Shares from YouTube Studio export</t>
        </is>
      </c>
    </row>
    <row r="104">
      <c r="A104" s="2" t="inlineStr">
        <is>
          <t>Graduation | A Kehelmala Short</t>
        </is>
      </c>
      <c r="B104" s="2" t="inlineStr">
        <is>
          <t>YouTube</t>
        </is>
      </c>
      <c r="C104" s="6" t="n">
        <v>31044</v>
      </c>
      <c r="D104" s="7">
        <f>SUM(E104:G104)</f>
        <v/>
      </c>
      <c r="E104" s="6" t="n">
        <v>1281</v>
      </c>
      <c r="F104" s="6" t="n">
        <v>143</v>
      </c>
      <c r="G104" s="6" t="n">
        <v>156</v>
      </c>
      <c r="H104" s="11">
        <f>IF(C104&gt;0,D104/C104,"")</f>
        <v/>
      </c>
      <c r="I104" s="12" t="n">
        <v>46293</v>
      </c>
      <c r="J104" s="3" t="inlineStr">
        <is>
          <t>YouTube Data API (yt_pull.py)</t>
        </is>
      </c>
      <c r="K104" s="3" t="inlineStr">
        <is>
          <t>Shares from YouTube Studio export</t>
        </is>
      </c>
    </row>
    <row r="105">
      <c r="A105" s="2" t="inlineStr">
        <is>
          <t>Wrong Number?</t>
        </is>
      </c>
      <c r="B105" s="2" t="inlineStr">
        <is>
          <t>YouTube</t>
        </is>
      </c>
      <c r="C105" s="6" t="n">
        <v>38881</v>
      </c>
      <c r="D105" s="7">
        <f>SUM(E105:G105)</f>
        <v/>
      </c>
      <c r="E105" s="6" t="n">
        <v>1143</v>
      </c>
      <c r="F105" s="6" t="n">
        <v>35</v>
      </c>
      <c r="G105" s="6" t="n">
        <v>25</v>
      </c>
      <c r="H105" s="11">
        <f>IF(C105&gt;0,D105/C105,"")</f>
        <v/>
      </c>
      <c r="I105" s="12" t="n">
        <v>46293</v>
      </c>
      <c r="J105" s="3" t="inlineStr">
        <is>
          <t>YouTube Data API (yt_pull.py)</t>
        </is>
      </c>
      <c r="K105" s="3" t="inlineStr">
        <is>
          <t>Shares from YouTube Studio export</t>
        </is>
      </c>
    </row>
    <row r="106">
      <c r="A106" s="2" t="inlineStr">
        <is>
          <t>Moving Out | A Kehelmala Short</t>
        </is>
      </c>
      <c r="B106" s="2" t="inlineStr">
        <is>
          <t>YouTube</t>
        </is>
      </c>
      <c r="C106" s="6" t="n">
        <v>46411</v>
      </c>
      <c r="D106" s="7">
        <f>SUM(E106:G106)</f>
        <v/>
      </c>
      <c r="E106" s="6" t="n">
        <v>1818</v>
      </c>
      <c r="F106" s="6" t="n">
        <v>97</v>
      </c>
      <c r="G106" s="6" t="n">
        <v>78</v>
      </c>
      <c r="H106" s="11">
        <f>IF(C106&gt;0,D106/C106,"")</f>
        <v/>
      </c>
      <c r="I106" s="12" t="n">
        <v>46293</v>
      </c>
      <c r="J106" s="3" t="inlineStr">
        <is>
          <t>YouTube Data API (yt_pull.py)</t>
        </is>
      </c>
      <c r="K106" s="3" t="inlineStr">
        <is>
          <t>Shares from YouTube Studio export</t>
        </is>
      </c>
    </row>
    <row r="107">
      <c r="A107" s="2" t="inlineStr">
        <is>
          <t>The Cover Up</t>
        </is>
      </c>
      <c r="B107" s="2" t="inlineStr">
        <is>
          <t>YouTube</t>
        </is>
      </c>
      <c r="C107" s="6" t="n">
        <v>179796</v>
      </c>
      <c r="D107" s="7">
        <f>SUM(E107:G107)</f>
        <v/>
      </c>
      <c r="E107" s="6" t="n">
        <v>6277</v>
      </c>
      <c r="F107" s="6" t="n">
        <v>111</v>
      </c>
      <c r="G107" s="6" t="n">
        <v>130</v>
      </c>
      <c r="H107" s="11">
        <f>IF(C107&gt;0,D107/C107,"")</f>
        <v/>
      </c>
      <c r="I107" s="12" t="n">
        <v>46293</v>
      </c>
      <c r="J107" s="3" t="inlineStr">
        <is>
          <t>YouTube Data API (yt_pull.py)</t>
        </is>
      </c>
      <c r="K107" s="3" t="inlineStr">
        <is>
          <t>Shares from YouTube Studio export</t>
        </is>
      </c>
    </row>
    <row r="108">
      <c r="A108" s="2" t="inlineStr">
        <is>
          <t>Sambol | A Kehelmala Short</t>
        </is>
      </c>
      <c r="B108" s="2" t="inlineStr">
        <is>
          <t>YouTube</t>
        </is>
      </c>
      <c r="C108" s="6" t="n">
        <v>25408</v>
      </c>
      <c r="D108" s="7">
        <f>SUM(E108:G108)</f>
        <v/>
      </c>
      <c r="E108" s="6" t="n">
        <v>956</v>
      </c>
      <c r="F108" s="6" t="n">
        <v>58</v>
      </c>
      <c r="G108" s="6" t="n">
        <v>30</v>
      </c>
      <c r="H108" s="11">
        <f>IF(C108&gt;0,D108/C108,"")</f>
        <v/>
      </c>
      <c r="I108" s="12" t="n">
        <v>46293</v>
      </c>
      <c r="J108" s="3" t="inlineStr">
        <is>
          <t>YouTube Data API (yt_pull.py)</t>
        </is>
      </c>
      <c r="K108" s="3" t="inlineStr">
        <is>
          <t>Shares from YouTube Studio export</t>
        </is>
      </c>
    </row>
    <row r="109">
      <c r="A109" s="2" t="inlineStr">
        <is>
          <t>Gratitude</t>
        </is>
      </c>
      <c r="B109" s="2" t="inlineStr">
        <is>
          <t>YouTube</t>
        </is>
      </c>
      <c r="C109" s="6" t="n">
        <v>30977</v>
      </c>
      <c r="D109" s="7">
        <f>SUM(E109:G109)</f>
        <v/>
      </c>
      <c r="E109" s="6" t="n">
        <v>1838</v>
      </c>
      <c r="F109" s="6" t="n">
        <v>181</v>
      </c>
      <c r="G109" s="6" t="n">
        <v>63</v>
      </c>
      <c r="H109" s="11">
        <f>IF(C109&gt;0,D109/C109,"")</f>
        <v/>
      </c>
      <c r="I109" s="12" t="n">
        <v>46293</v>
      </c>
      <c r="J109" s="3" t="inlineStr">
        <is>
          <t>YouTube Data API (yt_pull.py)</t>
        </is>
      </c>
      <c r="K109" s="3" t="inlineStr">
        <is>
          <t>Shares from YouTube Studio export</t>
        </is>
      </c>
    </row>
    <row r="110">
      <c r="A110" s="2" t="inlineStr">
        <is>
          <t>Loser | A Kehelmala Short</t>
        </is>
      </c>
      <c r="B110" s="2" t="inlineStr">
        <is>
          <t>YouTube</t>
        </is>
      </c>
      <c r="C110" s="6" t="n">
        <v>50774</v>
      </c>
      <c r="D110" s="7">
        <f>SUM(E110:G110)</f>
        <v/>
      </c>
      <c r="E110" s="6" t="n">
        <v>2709</v>
      </c>
      <c r="F110" s="6" t="n">
        <v>544</v>
      </c>
      <c r="G110" s="6" t="n">
        <v>198</v>
      </c>
      <c r="H110" s="11">
        <f>IF(C110&gt;0,D110/C110,"")</f>
        <v/>
      </c>
      <c r="I110" s="12" t="n">
        <v>46293</v>
      </c>
      <c r="J110" s="3" t="inlineStr">
        <is>
          <t>YouTube Data API (yt_pull.py)</t>
        </is>
      </c>
      <c r="K110" s="3" t="inlineStr">
        <is>
          <t>Shares from YouTube Studio export</t>
        </is>
      </c>
    </row>
    <row r="111">
      <c r="A111" s="2" t="inlineStr">
        <is>
          <t>Snake Bag</t>
        </is>
      </c>
      <c r="B111" s="2" t="inlineStr">
        <is>
          <t>YouTube</t>
        </is>
      </c>
      <c r="C111" s="6" t="n">
        <v>5269777</v>
      </c>
      <c r="D111" s="7">
        <f>SUM(E111:G111)</f>
        <v/>
      </c>
      <c r="E111" s="6" t="n">
        <v>105687</v>
      </c>
      <c r="F111" s="6" t="n">
        <v>1843</v>
      </c>
      <c r="G111" s="6" t="n">
        <v>358</v>
      </c>
      <c r="H111" s="11">
        <f>IF(C111&gt;0,D111/C111,"")</f>
        <v/>
      </c>
      <c r="I111" s="12" t="n">
        <v>46293</v>
      </c>
      <c r="J111" s="3" t="inlineStr">
        <is>
          <t>YouTube Data API (yt_pull.py)</t>
        </is>
      </c>
      <c r="K111" s="3" t="inlineStr">
        <is>
          <t>Shares from YouTube Studio export</t>
        </is>
      </c>
    </row>
    <row r="112">
      <c r="A112" s="2" t="inlineStr">
        <is>
          <t>Dinner | A Kehelmala Short</t>
        </is>
      </c>
      <c r="B112" s="2" t="inlineStr">
        <is>
          <t>YouTube</t>
        </is>
      </c>
      <c r="C112" s="6" t="n">
        <v>139997</v>
      </c>
      <c r="D112" s="7">
        <f>SUM(E112:G112)</f>
        <v/>
      </c>
      <c r="E112" s="6" t="n">
        <v>3702</v>
      </c>
      <c r="F112" s="6" t="n">
        <v>472</v>
      </c>
      <c r="G112" s="6" t="n">
        <v>295</v>
      </c>
      <c r="H112" s="11">
        <f>IF(C112&gt;0,D112/C112,"")</f>
        <v/>
      </c>
      <c r="I112" s="12" t="n">
        <v>46293</v>
      </c>
      <c r="J112" s="3" t="inlineStr">
        <is>
          <t>YouTube Data API (yt_pull.py)</t>
        </is>
      </c>
      <c r="K112" s="3" t="inlineStr">
        <is>
          <t>Shares from YouTube Studio export</t>
        </is>
      </c>
    </row>
    <row r="113">
      <c r="A113" s="2" t="inlineStr">
        <is>
          <t>Sneak!</t>
        </is>
      </c>
      <c r="B113" s="2" t="inlineStr">
        <is>
          <t>YouTube</t>
        </is>
      </c>
      <c r="C113" s="6" t="n">
        <v>49692</v>
      </c>
      <c r="D113" s="7">
        <f>SUM(E113:G113)</f>
        <v/>
      </c>
      <c r="E113" s="6" t="n">
        <v>1385</v>
      </c>
      <c r="F113" s="6" t="n">
        <v>318</v>
      </c>
      <c r="G113" s="6" t="n">
        <v>83</v>
      </c>
      <c r="H113" s="11">
        <f>IF(C113&gt;0,D113/C113,"")</f>
        <v/>
      </c>
      <c r="I113" s="12" t="n">
        <v>46293</v>
      </c>
      <c r="J113" s="3" t="inlineStr">
        <is>
          <t>YouTube Data API (yt_pull.py)</t>
        </is>
      </c>
      <c r="K113" s="3" t="inlineStr">
        <is>
          <t>Shares from YouTube Studio export</t>
        </is>
      </c>
    </row>
    <row r="114">
      <c r="A114" s="2" t="inlineStr">
        <is>
          <t>Talk | A Kehelmala Short</t>
        </is>
      </c>
      <c r="B114" s="2" t="inlineStr">
        <is>
          <t>YouTube</t>
        </is>
      </c>
      <c r="C114" s="6" t="n">
        <v>24510</v>
      </c>
      <c r="D114" s="7">
        <f>SUM(E114:G114)</f>
        <v/>
      </c>
      <c r="E114" s="6" t="n">
        <v>832</v>
      </c>
      <c r="F114" s="6" t="n">
        <v>54</v>
      </c>
      <c r="G114" s="6" t="n">
        <v>40</v>
      </c>
      <c r="H114" s="11">
        <f>IF(C114&gt;0,D114/C114,"")</f>
        <v/>
      </c>
      <c r="I114" s="12" t="n">
        <v>46293</v>
      </c>
      <c r="J114" s="3" t="inlineStr">
        <is>
          <t>YouTube Data API (yt_pull.py)</t>
        </is>
      </c>
      <c r="K114" s="3" t="inlineStr">
        <is>
          <t>Shares from YouTube Studio export</t>
        </is>
      </c>
    </row>
    <row r="115">
      <c r="A115" s="2" t="inlineStr">
        <is>
          <t>Chocolate, final episode | A Kehelmala Short</t>
        </is>
      </c>
      <c r="B115" s="2" t="inlineStr">
        <is>
          <t>YouTube</t>
        </is>
      </c>
      <c r="C115" s="6" t="n">
        <v>24691</v>
      </c>
      <c r="D115" s="7">
        <f>SUM(E115:G115)</f>
        <v/>
      </c>
      <c r="E115" s="6" t="n">
        <v>598</v>
      </c>
      <c r="F115" s="6" t="n">
        <v>66</v>
      </c>
      <c r="G115" s="6" t="n">
        <v>38</v>
      </c>
      <c r="H115" s="11">
        <f>IF(C115&gt;0,D115/C115,"")</f>
        <v/>
      </c>
      <c r="I115" s="12" t="n">
        <v>46293</v>
      </c>
      <c r="J115" s="3" t="inlineStr">
        <is>
          <t>YouTube Data API (yt_pull.py)</t>
        </is>
      </c>
      <c r="K115" s="3" t="inlineStr">
        <is>
          <t>Shares from YouTube Studio export</t>
        </is>
      </c>
    </row>
    <row r="116">
      <c r="A116" s="2" t="inlineStr">
        <is>
          <t>Remains | A Kehelmala Short</t>
        </is>
      </c>
      <c r="B116" s="2" t="inlineStr">
        <is>
          <t>YouTube</t>
        </is>
      </c>
      <c r="C116" s="6" t="n">
        <v>29616</v>
      </c>
      <c r="D116" s="7">
        <f>SUM(E116:G116)</f>
        <v/>
      </c>
      <c r="E116" s="6" t="n">
        <v>999</v>
      </c>
      <c r="F116" s="6" t="n">
        <v>44</v>
      </c>
      <c r="G116" s="6" t="n">
        <v>30</v>
      </c>
      <c r="H116" s="11">
        <f>IF(C116&gt;0,D116/C116,"")</f>
        <v/>
      </c>
      <c r="I116" s="12" t="n">
        <v>46293</v>
      </c>
      <c r="J116" s="3" t="inlineStr">
        <is>
          <t>YouTube Data API (yt_pull.py)</t>
        </is>
      </c>
      <c r="K116" s="3" t="inlineStr">
        <is>
          <t>Shares from YouTube Studio export</t>
        </is>
      </c>
    </row>
    <row r="117">
      <c r="A117" s="2" t="inlineStr">
        <is>
          <t>Cooked</t>
        </is>
      </c>
      <c r="B117" s="2" t="inlineStr">
        <is>
          <t>YouTube</t>
        </is>
      </c>
      <c r="C117" s="6" t="n">
        <v>46541</v>
      </c>
      <c r="D117" s="7">
        <f>SUM(E117:G117)</f>
        <v/>
      </c>
      <c r="E117" s="6" t="n">
        <v>1542</v>
      </c>
      <c r="F117" s="6" t="n">
        <v>69</v>
      </c>
      <c r="G117" s="6" t="n">
        <v>21</v>
      </c>
      <c r="H117" s="11">
        <f>IF(C117&gt;0,D117/C117,"")</f>
        <v/>
      </c>
      <c r="I117" s="12" t="n">
        <v>46293</v>
      </c>
      <c r="J117" s="3" t="inlineStr">
        <is>
          <t>YouTube Data API (yt_pull.py)</t>
        </is>
      </c>
      <c r="K117" s="3" t="inlineStr">
        <is>
          <t>Shares from YouTube Studio export</t>
        </is>
      </c>
    </row>
    <row r="118">
      <c r="A118" s="2" t="inlineStr">
        <is>
          <t>Sisters</t>
        </is>
      </c>
      <c r="B118" s="2" t="inlineStr">
        <is>
          <t>YouTube</t>
        </is>
      </c>
      <c r="C118" s="6" t="n">
        <v>42606</v>
      </c>
      <c r="D118" s="7">
        <f>SUM(E118:G118)</f>
        <v/>
      </c>
      <c r="E118" s="6" t="n">
        <v>1701</v>
      </c>
      <c r="F118" s="6" t="n">
        <v>58</v>
      </c>
      <c r="G118" s="6" t="n">
        <v>23</v>
      </c>
      <c r="H118" s="11">
        <f>IF(C118&gt;0,D118/C118,"")</f>
        <v/>
      </c>
      <c r="I118" s="12" t="n">
        <v>46293</v>
      </c>
      <c r="J118" s="3" t="inlineStr">
        <is>
          <t>YouTube Data API (yt_pull.py)</t>
        </is>
      </c>
      <c r="K118" s="3" t="inlineStr">
        <is>
          <t>Shares from YouTube Studio export</t>
        </is>
      </c>
    </row>
    <row r="119">
      <c r="A119" s="2" t="inlineStr">
        <is>
          <t>Binge | A Kehelmala Short</t>
        </is>
      </c>
      <c r="B119" s="2" t="inlineStr">
        <is>
          <t>YouTube</t>
        </is>
      </c>
      <c r="C119" s="6" t="n">
        <v>52557</v>
      </c>
      <c r="D119" s="7">
        <f>SUM(E119:G119)</f>
        <v/>
      </c>
      <c r="E119" s="6" t="n">
        <v>1824</v>
      </c>
      <c r="F119" s="6" t="n">
        <v>294</v>
      </c>
      <c r="G119" s="6" t="n">
        <v>107</v>
      </c>
      <c r="H119" s="11">
        <f>IF(C119&gt;0,D119/C119,"")</f>
        <v/>
      </c>
      <c r="I119" s="12" t="n">
        <v>46293</v>
      </c>
      <c r="J119" s="3" t="inlineStr">
        <is>
          <t>YouTube Data API (yt_pull.py)</t>
        </is>
      </c>
      <c r="K119" s="3" t="inlineStr">
        <is>
          <t>Shares from YouTube Studio export</t>
        </is>
      </c>
    </row>
    <row r="120">
      <c r="A120" s="2" t="inlineStr">
        <is>
          <t>Tea Time!</t>
        </is>
      </c>
      <c r="B120" s="2" t="inlineStr">
        <is>
          <t>YouTube</t>
        </is>
      </c>
      <c r="C120" s="6" t="n">
        <v>36301</v>
      </c>
      <c r="D120" s="7">
        <f>SUM(E120:G120)</f>
        <v/>
      </c>
      <c r="E120" s="6" t="n">
        <v>1222</v>
      </c>
      <c r="F120" s="6" t="n">
        <v>115</v>
      </c>
      <c r="G120" s="6" t="n">
        <v>24</v>
      </c>
      <c r="H120" s="11">
        <f>IF(C120&gt;0,D120/C120,"")</f>
        <v/>
      </c>
      <c r="I120" s="12" t="n">
        <v>46293</v>
      </c>
      <c r="J120" s="3" t="inlineStr">
        <is>
          <t>YouTube Data API (yt_pull.py)</t>
        </is>
      </c>
      <c r="K120" s="3" t="inlineStr">
        <is>
          <t>Shares from YouTube Studio export</t>
        </is>
      </c>
    </row>
    <row r="121">
      <c r="A121" s="2" t="inlineStr">
        <is>
          <t>Tea Time | A Kehelmala Short</t>
        </is>
      </c>
      <c r="B121" s="2" t="inlineStr">
        <is>
          <t>YouTube</t>
        </is>
      </c>
      <c r="C121" s="6" t="n">
        <v>44091</v>
      </c>
      <c r="D121" s="7">
        <f>SUM(E121:G121)</f>
        <v/>
      </c>
      <c r="E121" s="6" t="n">
        <v>1669</v>
      </c>
      <c r="F121" s="6" t="n">
        <v>308</v>
      </c>
      <c r="G121" s="6" t="n">
        <v>76</v>
      </c>
      <c r="H121" s="11">
        <f>IF(C121&gt;0,D121/C121,"")</f>
        <v/>
      </c>
      <c r="I121" s="12" t="n">
        <v>46293</v>
      </c>
      <c r="J121" s="3" t="inlineStr">
        <is>
          <t>YouTube Data API (yt_pull.py)</t>
        </is>
      </c>
      <c r="K121" s="3" t="inlineStr">
        <is>
          <t>Shares from YouTube Studio export</t>
        </is>
      </c>
    </row>
    <row r="122">
      <c r="A122" s="2" t="inlineStr">
        <is>
          <t>Purpose | A Kehelmala Short</t>
        </is>
      </c>
      <c r="B122" s="2" t="inlineStr">
        <is>
          <t>YouTube</t>
        </is>
      </c>
      <c r="C122" s="6" t="n">
        <v>18786</v>
      </c>
      <c r="D122" s="7">
        <f>SUM(E122:G122)</f>
        <v/>
      </c>
      <c r="E122" s="6" t="n">
        <v>828</v>
      </c>
      <c r="F122" s="6" t="n">
        <v>80</v>
      </c>
      <c r="G122" s="6" t="n">
        <v>37</v>
      </c>
      <c r="H122" s="11">
        <f>IF(C122&gt;0,D122/C122,"")</f>
        <v/>
      </c>
      <c r="I122" s="12" t="n">
        <v>46293</v>
      </c>
      <c r="J122" s="3" t="inlineStr">
        <is>
          <t>YouTube Data API (yt_pull.py)</t>
        </is>
      </c>
      <c r="K122" s="3" t="inlineStr">
        <is>
          <t>Shares from YouTube Studio export</t>
        </is>
      </c>
    </row>
    <row r="123">
      <c r="A123" s="2" t="inlineStr">
        <is>
          <t>Last Round | A Kehelmala Short</t>
        </is>
      </c>
      <c r="B123" s="2" t="inlineStr">
        <is>
          <t>YouTube</t>
        </is>
      </c>
      <c r="C123" s="6" t="n">
        <v>7979</v>
      </c>
      <c r="D123" s="7">
        <f>SUM(E123:G123)</f>
        <v/>
      </c>
      <c r="E123" s="6" t="n">
        <v>351</v>
      </c>
      <c r="F123" s="6" t="n">
        <v>69</v>
      </c>
      <c r="G123" s="6" t="n">
        <v>18</v>
      </c>
      <c r="H123" s="11">
        <f>IF(C123&gt;0,D123/C123,"")</f>
        <v/>
      </c>
      <c r="I123" s="12" t="n">
        <v>46293</v>
      </c>
      <c r="J123" s="3" t="inlineStr">
        <is>
          <t>YouTube Data API (yt_pull.py)</t>
        </is>
      </c>
      <c r="K123" s="3" t="inlineStr">
        <is>
          <t>Shares from YouTube Studio export</t>
        </is>
      </c>
    </row>
    <row r="124">
      <c r="A124" s="2" t="inlineStr">
        <is>
          <t>What’s with Su?</t>
        </is>
      </c>
      <c r="B124" s="2" t="inlineStr">
        <is>
          <t>YouTube</t>
        </is>
      </c>
      <c r="C124" s="6" t="n">
        <v>58216</v>
      </c>
      <c r="D124" s="7">
        <f>SUM(E124:G124)</f>
        <v/>
      </c>
      <c r="E124" s="6" t="n"/>
      <c r="F124" s="6" t="n">
        <v>498</v>
      </c>
      <c r="G124" s="6" t="n">
        <v>57</v>
      </c>
      <c r="H124" s="11">
        <f>IF(C124&gt;0,D124/C124,"")</f>
        <v/>
      </c>
      <c r="I124" s="12" t="n">
        <v>46293</v>
      </c>
      <c r="J124" s="3" t="inlineStr">
        <is>
          <t>YouTube Data API (yt_pull.py)</t>
        </is>
      </c>
      <c r="K124" s="3" t="inlineStr">
        <is>
          <t>Shares from YouTube Studio export</t>
        </is>
      </c>
    </row>
    <row r="125">
      <c r="A125" s="2" t="inlineStr">
        <is>
          <t>Lantern | A Kehelmala Short</t>
        </is>
      </c>
      <c r="B125" s="2" t="inlineStr">
        <is>
          <t>YouTube</t>
        </is>
      </c>
      <c r="C125" s="6" t="n">
        <v>104862</v>
      </c>
      <c r="D125" s="7">
        <f>SUM(E125:G125)</f>
        <v/>
      </c>
      <c r="E125" s="6" t="n">
        <v>2812</v>
      </c>
      <c r="F125" s="6" t="n">
        <v>116</v>
      </c>
      <c r="G125" s="6" t="n">
        <v>75</v>
      </c>
      <c r="H125" s="11">
        <f>IF(C125&gt;0,D125/C125,"")</f>
        <v/>
      </c>
      <c r="I125" s="12" t="n">
        <v>46293</v>
      </c>
      <c r="J125" s="3" t="inlineStr">
        <is>
          <t>YouTube Data API (yt_pull.py)</t>
        </is>
      </c>
      <c r="K125" s="3" t="inlineStr">
        <is>
          <t>Shares from YouTube Studio export</t>
        </is>
      </c>
    </row>
    <row r="126">
      <c r="A126" s="2" t="inlineStr">
        <is>
          <t>Winners</t>
        </is>
      </c>
      <c r="B126" s="2" t="inlineStr">
        <is>
          <t>YouTube</t>
        </is>
      </c>
      <c r="C126" s="6" t="n">
        <v>34992</v>
      </c>
      <c r="D126" s="7">
        <f>SUM(E126:G126)</f>
        <v/>
      </c>
      <c r="E126" s="6" t="n"/>
      <c r="F126" s="6" t="n">
        <v>48</v>
      </c>
      <c r="G126" s="6" t="n">
        <v>26</v>
      </c>
      <c r="H126" s="11">
        <f>IF(C126&gt;0,D126/C126,"")</f>
        <v/>
      </c>
      <c r="I126" s="12" t="n">
        <v>46293</v>
      </c>
      <c r="J126" s="3" t="inlineStr">
        <is>
          <t>YouTube Data API (yt_pull.py)</t>
        </is>
      </c>
      <c r="K126" s="3" t="inlineStr">
        <is>
          <t>Shares from YouTube Studio export</t>
        </is>
      </c>
    </row>
    <row r="127">
      <c r="A127" s="2" t="inlineStr">
        <is>
          <t>Preparations | A Kehelmala Short</t>
        </is>
      </c>
      <c r="B127" s="2" t="inlineStr">
        <is>
          <t>YouTube</t>
        </is>
      </c>
      <c r="C127" s="6" t="n">
        <v>25694</v>
      </c>
      <c r="D127" s="7">
        <f>SUM(E127:G127)</f>
        <v/>
      </c>
      <c r="E127" s="6" t="n">
        <v>1276</v>
      </c>
      <c r="F127" s="6" t="n">
        <v>48</v>
      </c>
      <c r="G127" s="6" t="n">
        <v>47</v>
      </c>
      <c r="H127" s="11">
        <f>IF(C127&gt;0,D127/C127,"")</f>
        <v/>
      </c>
      <c r="I127" s="12" t="n">
        <v>46293</v>
      </c>
      <c r="J127" s="3" t="inlineStr">
        <is>
          <t>YouTube Data API (yt_pull.py)</t>
        </is>
      </c>
      <c r="K127" s="3" t="inlineStr">
        <is>
          <t>Shares from YouTube Studio export</t>
        </is>
      </c>
    </row>
    <row r="128">
      <c r="A128" s="2" t="inlineStr">
        <is>
          <t>Blessings</t>
        </is>
      </c>
      <c r="B128" s="2" t="inlineStr">
        <is>
          <t>YouTube</t>
        </is>
      </c>
      <c r="C128" s="6" t="n">
        <v>268804</v>
      </c>
      <c r="D128" s="7">
        <f>SUM(E128:G128)</f>
        <v/>
      </c>
      <c r="E128" s="6" t="n"/>
      <c r="F128" s="6" t="n">
        <v>689</v>
      </c>
      <c r="G128" s="6" t="n">
        <v>94</v>
      </c>
      <c r="H128" s="11">
        <f>IF(C128&gt;0,D128/C128,"")</f>
        <v/>
      </c>
      <c r="I128" s="12" t="n">
        <v>46293</v>
      </c>
      <c r="J128" s="3" t="inlineStr">
        <is>
          <t>YouTube Data API (yt_pull.py)</t>
        </is>
      </c>
      <c r="K128" s="3" t="inlineStr">
        <is>
          <t>Shares from YouTube Studio export</t>
        </is>
      </c>
    </row>
    <row r="129">
      <c r="A129" s="2" t="inlineStr">
        <is>
          <t>Human Resources | A Kehelmala Short</t>
        </is>
      </c>
      <c r="B129" s="2" t="inlineStr">
        <is>
          <t>YouTube</t>
        </is>
      </c>
      <c r="C129" s="6" t="n">
        <v>49837</v>
      </c>
      <c r="D129" s="7">
        <f>SUM(E129:G129)</f>
        <v/>
      </c>
      <c r="E129" s="6" t="n">
        <v>1762</v>
      </c>
      <c r="F129" s="6" t="n">
        <v>294</v>
      </c>
      <c r="G129" s="6" t="n">
        <v>77</v>
      </c>
      <c r="H129" s="11">
        <f>IF(C129&gt;0,D129/C129,"")</f>
        <v/>
      </c>
      <c r="I129" s="12" t="n">
        <v>46293</v>
      </c>
      <c r="J129" s="3" t="inlineStr">
        <is>
          <t>YouTube Data API (yt_pull.py)</t>
        </is>
      </c>
      <c r="K129" s="3" t="inlineStr">
        <is>
          <t>Shares from YouTube Studio export</t>
        </is>
      </c>
    </row>
    <row r="130">
      <c r="A130" s="2" t="inlineStr">
        <is>
          <t>Chocolate - Part 3 | A Kehelmala Short</t>
        </is>
      </c>
      <c r="B130" s="2" t="inlineStr">
        <is>
          <t>YouTube</t>
        </is>
      </c>
      <c r="C130" s="6" t="n">
        <v>33665</v>
      </c>
      <c r="D130" s="7">
        <f>SUM(E130:G130)</f>
        <v/>
      </c>
      <c r="E130" s="6" t="n">
        <v>721</v>
      </c>
      <c r="F130" s="6" t="n">
        <v>99</v>
      </c>
      <c r="G130" s="6" t="n">
        <v>16</v>
      </c>
      <c r="H130" s="11">
        <f>IF(C130&gt;0,D130/C130,"")</f>
        <v/>
      </c>
      <c r="I130" s="12" t="n">
        <v>46293</v>
      </c>
      <c r="J130" s="3" t="inlineStr">
        <is>
          <t>YouTube Data API (yt_pull.py)</t>
        </is>
      </c>
      <c r="K130" s="3" t="inlineStr">
        <is>
          <t>Shares from YouTube Studio export</t>
        </is>
      </c>
    </row>
    <row r="131">
      <c r="A131" s="2" t="inlineStr">
        <is>
          <t>Tastiest</t>
        </is>
      </c>
      <c r="B131" s="2" t="inlineStr">
        <is>
          <t>YouTube</t>
        </is>
      </c>
      <c r="C131" s="6" t="n">
        <v>62934</v>
      </c>
      <c r="D131" s="7">
        <f>SUM(E131:G131)</f>
        <v/>
      </c>
      <c r="E131" s="6" t="n"/>
      <c r="F131" s="6" t="n">
        <v>110</v>
      </c>
      <c r="G131" s="6" t="n">
        <v>36</v>
      </c>
      <c r="H131" s="11">
        <f>IF(C131&gt;0,D131/C131,"")</f>
        <v/>
      </c>
      <c r="I131" s="12" t="n">
        <v>46293</v>
      </c>
      <c r="J131" s="3" t="inlineStr">
        <is>
          <t>YouTube Data API (yt_pull.py)</t>
        </is>
      </c>
      <c r="K131" s="3" t="inlineStr">
        <is>
          <t>Shares from YouTube Studio export</t>
        </is>
      </c>
    </row>
    <row r="132">
      <c r="A132" s="2" t="inlineStr">
        <is>
          <t>Two Guys, One Cup</t>
        </is>
      </c>
      <c r="B132" s="2" t="inlineStr">
        <is>
          <t>YouTube</t>
        </is>
      </c>
      <c r="C132" s="6" t="n">
        <v>100937</v>
      </c>
      <c r="D132" s="7">
        <f>SUM(E132:G132)</f>
        <v/>
      </c>
      <c r="E132" s="6" t="n"/>
      <c r="F132" s="6" t="n">
        <v>191</v>
      </c>
      <c r="G132" s="6" t="n">
        <v>40</v>
      </c>
      <c r="H132" s="11">
        <f>IF(C132&gt;0,D132/C132,"")</f>
        <v/>
      </c>
      <c r="I132" s="12" t="n">
        <v>46293</v>
      </c>
      <c r="J132" s="3" t="inlineStr">
        <is>
          <t>YouTube Data API (yt_pull.py)</t>
        </is>
      </c>
      <c r="K132" s="3" t="inlineStr">
        <is>
          <t>Shares from YouTube Studio export</t>
        </is>
      </c>
    </row>
    <row r="133">
      <c r="A133" s="2" t="inlineStr">
        <is>
          <t>Granny, No!</t>
        </is>
      </c>
      <c r="B133" s="2" t="inlineStr">
        <is>
          <t>YouTube</t>
        </is>
      </c>
      <c r="C133" s="6" t="n">
        <v>32616</v>
      </c>
      <c r="D133" s="7">
        <f>SUM(E133:G133)</f>
        <v/>
      </c>
      <c r="E133" s="6" t="n">
        <v>1097</v>
      </c>
      <c r="F133" s="6" t="n">
        <v>53</v>
      </c>
      <c r="G133" s="6" t="n">
        <v>14</v>
      </c>
      <c r="H133" s="11">
        <f>IF(C133&gt;0,D133/C133,"")</f>
        <v/>
      </c>
      <c r="I133" s="12" t="n">
        <v>46293</v>
      </c>
      <c r="J133" s="3" t="inlineStr">
        <is>
          <t>YouTube Data API (yt_pull.py)</t>
        </is>
      </c>
      <c r="K133" s="3" t="inlineStr">
        <is>
          <t>Shares from YouTube Studio export</t>
        </is>
      </c>
    </row>
    <row r="134">
      <c r="A134" s="2" t="inlineStr">
        <is>
          <t>Granny, no! | A Kehelmala Short</t>
        </is>
      </c>
      <c r="B134" s="2" t="inlineStr">
        <is>
          <t>YouTube</t>
        </is>
      </c>
      <c r="C134" s="6" t="n">
        <v>67282</v>
      </c>
      <c r="D134" s="7">
        <f>SUM(E134:G134)</f>
        <v/>
      </c>
      <c r="E134" s="6" t="n">
        <v>3284</v>
      </c>
      <c r="F134" s="6" t="n">
        <v>1073</v>
      </c>
      <c r="G134" s="6" t="n">
        <v>173</v>
      </c>
      <c r="H134" s="11">
        <f>IF(C134&gt;0,D134/C134,"")</f>
        <v/>
      </c>
      <c r="I134" s="12" t="n">
        <v>46293</v>
      </c>
      <c r="J134" s="3" t="inlineStr">
        <is>
          <t>YouTube Data API (yt_pull.py)</t>
        </is>
      </c>
      <c r="K134" s="3" t="inlineStr">
        <is>
          <t>Shares from YouTube Studio export</t>
        </is>
      </c>
    </row>
    <row r="135">
      <c r="A135" s="2" t="inlineStr">
        <is>
          <t>The Long Goodbye</t>
        </is>
      </c>
      <c r="B135" s="2" t="inlineStr">
        <is>
          <t>YouTube</t>
        </is>
      </c>
      <c r="C135" s="6" t="n">
        <v>42836</v>
      </c>
      <c r="D135" s="7">
        <f>SUM(E135:G135)</f>
        <v/>
      </c>
      <c r="E135" s="6" t="n"/>
      <c r="F135" s="6" t="n">
        <v>97</v>
      </c>
      <c r="G135" s="6" t="n">
        <v>21</v>
      </c>
      <c r="H135" s="11">
        <f>IF(C135&gt;0,D135/C135,"")</f>
        <v/>
      </c>
      <c r="I135" s="12" t="n">
        <v>46293</v>
      </c>
      <c r="J135" s="3" t="inlineStr">
        <is>
          <t>YouTube Data API (yt_pull.py)</t>
        </is>
      </c>
      <c r="K135" s="3" t="inlineStr">
        <is>
          <t>Shares from YouTube Studio export</t>
        </is>
      </c>
    </row>
    <row r="136">
      <c r="A136" s="2" t="inlineStr">
        <is>
          <t>Bro! | A Kehelmala Short</t>
        </is>
      </c>
      <c r="B136" s="2" t="inlineStr">
        <is>
          <t>YouTube</t>
        </is>
      </c>
      <c r="C136" s="6" t="n">
        <v>22902</v>
      </c>
      <c r="D136" s="7">
        <f>SUM(E136:G136)</f>
        <v/>
      </c>
      <c r="E136" s="6" t="n">
        <v>988</v>
      </c>
      <c r="F136" s="6" t="n">
        <v>177</v>
      </c>
      <c r="G136" s="6" t="n">
        <v>42</v>
      </c>
      <c r="H136" s="11">
        <f>IF(C136&gt;0,D136/C136,"")</f>
        <v/>
      </c>
      <c r="I136" s="12" t="n">
        <v>46293</v>
      </c>
      <c r="J136" s="3" t="inlineStr">
        <is>
          <t>YouTube Data API (yt_pull.py)</t>
        </is>
      </c>
      <c r="K136" s="3" t="inlineStr">
        <is>
          <t>Shares from YouTube Studio export</t>
        </is>
      </c>
    </row>
    <row r="137">
      <c r="A137" s="2" t="inlineStr">
        <is>
          <t>Wedding Cake</t>
        </is>
      </c>
      <c r="B137" s="2" t="inlineStr">
        <is>
          <t>YouTube</t>
        </is>
      </c>
      <c r="C137" s="6" t="n">
        <v>51172</v>
      </c>
      <c r="D137" s="7">
        <f>SUM(E137:G137)</f>
        <v/>
      </c>
      <c r="E137" s="6" t="n"/>
      <c r="F137" s="6" t="n">
        <v>309</v>
      </c>
      <c r="G137" s="6" t="n">
        <v>32</v>
      </c>
      <c r="H137" s="11">
        <f>IF(C137&gt;0,D137/C137,"")</f>
        <v/>
      </c>
      <c r="I137" s="12" t="n">
        <v>46293</v>
      </c>
      <c r="J137" s="3" t="inlineStr">
        <is>
          <t>YouTube Data API (yt_pull.py)</t>
        </is>
      </c>
      <c r="K137" s="3" t="inlineStr">
        <is>
          <t>Shares from YouTube Studio export</t>
        </is>
      </c>
    </row>
    <row r="138">
      <c r="A138" s="2" t="inlineStr">
        <is>
          <t>Dress | A Kehelmala Short</t>
        </is>
      </c>
      <c r="B138" s="2" t="inlineStr">
        <is>
          <t>YouTube</t>
        </is>
      </c>
      <c r="C138" s="6" t="n">
        <v>76864</v>
      </c>
      <c r="D138" s="7">
        <f>SUM(E138:G138)</f>
        <v/>
      </c>
      <c r="E138" s="6" t="n">
        <v>2293</v>
      </c>
      <c r="F138" s="6" t="n">
        <v>355</v>
      </c>
      <c r="G138" s="6" t="n">
        <v>101</v>
      </c>
      <c r="H138" s="11">
        <f>IF(C138&gt;0,D138/C138,"")</f>
        <v/>
      </c>
      <c r="I138" s="12" t="n">
        <v>46293</v>
      </c>
      <c r="J138" s="3" t="inlineStr">
        <is>
          <t>YouTube Data API (yt_pull.py)</t>
        </is>
      </c>
      <c r="K138" s="3" t="inlineStr">
        <is>
          <t>Shares from YouTube Studio export</t>
        </is>
      </c>
    </row>
    <row r="139">
      <c r="A139" s="2" t="inlineStr">
        <is>
          <t>Kalumini!</t>
        </is>
      </c>
      <c r="B139" s="2" t="inlineStr">
        <is>
          <t>YouTube</t>
        </is>
      </c>
      <c r="C139" s="6" t="n">
        <v>38900</v>
      </c>
      <c r="D139" s="7">
        <f>SUM(E139:G139)</f>
        <v/>
      </c>
      <c r="E139" s="6" t="n"/>
      <c r="F139" s="6" t="n">
        <v>141</v>
      </c>
      <c r="G139" s="6" t="n">
        <v>42</v>
      </c>
      <c r="H139" s="11">
        <f>IF(C139&gt;0,D139/C139,"")</f>
        <v/>
      </c>
      <c r="I139" s="12" t="n">
        <v>46293</v>
      </c>
      <c r="J139" s="3" t="inlineStr">
        <is>
          <t>YouTube Data API (yt_pull.py)</t>
        </is>
      </c>
      <c r="K139" s="3" t="inlineStr">
        <is>
          <t>Shares from YouTube Studio export</t>
        </is>
      </c>
    </row>
    <row r="140">
      <c r="A140" s="2" t="inlineStr">
        <is>
          <t>Miss  |  A Kehelmala Short</t>
        </is>
      </c>
      <c r="B140" s="2" t="inlineStr">
        <is>
          <t>YouTube</t>
        </is>
      </c>
      <c r="C140" s="6" t="n">
        <v>46393</v>
      </c>
      <c r="D140" s="7">
        <f>SUM(E140:G140)</f>
        <v/>
      </c>
      <c r="E140" s="6" t="n">
        <v>1689</v>
      </c>
      <c r="F140" s="6" t="n">
        <v>309</v>
      </c>
      <c r="G140" s="6" t="n">
        <v>55</v>
      </c>
      <c r="H140" s="11">
        <f>IF(C140&gt;0,D140/C140,"")</f>
        <v/>
      </c>
      <c r="I140" s="12" t="n">
        <v>46293</v>
      </c>
      <c r="J140" s="3" t="inlineStr">
        <is>
          <t>YouTube Data API (yt_pull.py)</t>
        </is>
      </c>
      <c r="K140" s="3" t="inlineStr">
        <is>
          <t>Shares from YouTube Studio export</t>
        </is>
      </c>
    </row>
    <row r="141">
      <c r="A141" s="2" t="inlineStr">
        <is>
          <t>Chocolate - Part 2  |  A Kehelmala Short</t>
        </is>
      </c>
      <c r="B141" s="2" t="inlineStr">
        <is>
          <t>YouTube</t>
        </is>
      </c>
      <c r="C141" s="6" t="n">
        <v>37535</v>
      </c>
      <c r="D141" s="7">
        <f>SUM(E141:G141)</f>
        <v/>
      </c>
      <c r="E141" s="6" t="n">
        <v>815</v>
      </c>
      <c r="F141" s="6" t="n">
        <v>139</v>
      </c>
      <c r="G141" s="6" t="n">
        <v>46</v>
      </c>
      <c r="H141" s="11">
        <f>IF(C141&gt;0,D141/C141,"")</f>
        <v/>
      </c>
      <c r="I141" s="12" t="n">
        <v>46293</v>
      </c>
      <c r="J141" s="3" t="inlineStr">
        <is>
          <t>YouTube Data API (yt_pull.py)</t>
        </is>
      </c>
      <c r="K141" s="3" t="inlineStr">
        <is>
          <t>Shares from YouTube Studio export</t>
        </is>
      </c>
    </row>
    <row r="142">
      <c r="A142" s="2" t="inlineStr">
        <is>
          <t>The Lion</t>
        </is>
      </c>
      <c r="B142" s="2" t="inlineStr">
        <is>
          <t>YouTube</t>
        </is>
      </c>
      <c r="C142" s="6" t="n">
        <v>34705</v>
      </c>
      <c r="D142" s="7">
        <f>SUM(E142:G142)</f>
        <v/>
      </c>
      <c r="E142" s="6" t="n"/>
      <c r="F142" s="6" t="n">
        <v>71</v>
      </c>
      <c r="G142" s="6" t="n">
        <v>23</v>
      </c>
      <c r="H142" s="11">
        <f>IF(C142&gt;0,D142/C142,"")</f>
        <v/>
      </c>
      <c r="I142" s="12" t="n">
        <v>46293</v>
      </c>
      <c r="J142" s="3" t="inlineStr">
        <is>
          <t>YouTube Data API (yt_pull.py)</t>
        </is>
      </c>
      <c r="K142" s="3" t="inlineStr">
        <is>
          <t>Shares from YouTube Studio export</t>
        </is>
      </c>
    </row>
    <row r="143">
      <c r="A143" s="2" t="inlineStr">
        <is>
          <t>Fated</t>
        </is>
      </c>
      <c r="B143" s="2" t="inlineStr">
        <is>
          <t>YouTube</t>
        </is>
      </c>
      <c r="C143" s="6" t="n">
        <v>862041</v>
      </c>
      <c r="D143" s="7">
        <f>SUM(E143:G143)</f>
        <v/>
      </c>
      <c r="E143" s="6" t="n"/>
      <c r="F143" s="6" t="n">
        <v>1246</v>
      </c>
      <c r="G143" s="6" t="n">
        <v>212</v>
      </c>
      <c r="H143" s="11">
        <f>IF(C143&gt;0,D143/C143,"")</f>
        <v/>
      </c>
      <c r="I143" s="12" t="n">
        <v>46293</v>
      </c>
      <c r="J143" s="3" t="inlineStr">
        <is>
          <t>YouTube Data API (yt_pull.py)</t>
        </is>
      </c>
      <c r="K143" s="3" t="inlineStr">
        <is>
          <t>Shares from YouTube Studio export</t>
        </is>
      </c>
    </row>
    <row r="144">
      <c r="A144" s="2" t="inlineStr">
        <is>
          <t>The Artiste | A Kehelmala Short</t>
        </is>
      </c>
      <c r="B144" s="2" t="inlineStr">
        <is>
          <t>YouTube</t>
        </is>
      </c>
      <c r="C144" s="6" t="n">
        <v>18123</v>
      </c>
      <c r="D144" s="7">
        <f>SUM(E144:G144)</f>
        <v/>
      </c>
      <c r="E144" s="6" t="n">
        <v>990</v>
      </c>
      <c r="F144" s="6" t="n">
        <v>123</v>
      </c>
      <c r="G144" s="6" t="n">
        <v>73</v>
      </c>
      <c r="H144" s="11">
        <f>IF(C144&gt;0,D144/C144,"")</f>
        <v/>
      </c>
      <c r="I144" s="12" t="n">
        <v>46293</v>
      </c>
      <c r="J144" s="3" t="inlineStr">
        <is>
          <t>YouTube Data API (yt_pull.py)</t>
        </is>
      </c>
      <c r="K144" s="3" t="inlineStr">
        <is>
          <t>Shares from YouTube Studio export</t>
        </is>
      </c>
    </row>
    <row r="145">
      <c r="A145" s="2" t="inlineStr">
        <is>
          <t>Night Shift</t>
        </is>
      </c>
      <c r="B145" s="2" t="inlineStr">
        <is>
          <t>YouTube</t>
        </is>
      </c>
      <c r="C145" s="6" t="n">
        <v>42892</v>
      </c>
      <c r="D145" s="7">
        <f>SUM(E145:G145)</f>
        <v/>
      </c>
      <c r="E145" s="6" t="n"/>
      <c r="F145" s="6" t="n">
        <v>139</v>
      </c>
      <c r="G145" s="6" t="n">
        <v>27</v>
      </c>
      <c r="H145" s="11">
        <f>IF(C145&gt;0,D145/C145,"")</f>
        <v/>
      </c>
      <c r="I145" s="12" t="n">
        <v>46293</v>
      </c>
      <c r="J145" s="3" t="inlineStr">
        <is>
          <t>YouTube Data API (yt_pull.py)</t>
        </is>
      </c>
      <c r="K145" s="3" t="inlineStr">
        <is>
          <t>Shares from YouTube Studio export</t>
        </is>
      </c>
    </row>
    <row r="146">
      <c r="A146" s="2" t="inlineStr">
        <is>
          <t>Prodigy | A Kehelmala Short</t>
        </is>
      </c>
      <c r="B146" s="2" t="inlineStr">
        <is>
          <t>YouTube</t>
        </is>
      </c>
      <c r="C146" s="6" t="n">
        <v>53205</v>
      </c>
      <c r="D146" s="7">
        <f>SUM(E146:G146)</f>
        <v/>
      </c>
      <c r="E146" s="6" t="n">
        <v>1919</v>
      </c>
      <c r="F146" s="6" t="n">
        <v>417</v>
      </c>
      <c r="G146" s="6" t="n">
        <v>97</v>
      </c>
      <c r="H146" s="11">
        <f>IF(C146&gt;0,D146/C146,"")</f>
        <v/>
      </c>
      <c r="I146" s="12" t="n">
        <v>46293</v>
      </c>
      <c r="J146" s="3" t="inlineStr">
        <is>
          <t>YouTube Data API (yt_pull.py)</t>
        </is>
      </c>
      <c r="K146" s="3" t="inlineStr">
        <is>
          <t>Shares from YouTube Studio export</t>
        </is>
      </c>
    </row>
    <row r="147">
      <c r="A147" s="2" t="inlineStr">
        <is>
          <t>Schooled</t>
        </is>
      </c>
      <c r="B147" s="2" t="inlineStr">
        <is>
          <t>YouTube</t>
        </is>
      </c>
      <c r="C147" s="6" t="n">
        <v>2404275</v>
      </c>
      <c r="D147" s="7">
        <f>SUM(E147:G147)</f>
        <v/>
      </c>
      <c r="E147" s="6" t="n"/>
      <c r="F147" s="6" t="n">
        <v>4339</v>
      </c>
      <c r="G147" s="6" t="n">
        <v>436</v>
      </c>
      <c r="H147" s="11">
        <f>IF(C147&gt;0,D147/C147,"")</f>
        <v/>
      </c>
      <c r="I147" s="12" t="n">
        <v>46293</v>
      </c>
      <c r="J147" s="3" t="inlineStr">
        <is>
          <t>YouTube Data API (yt_pull.py)</t>
        </is>
      </c>
      <c r="K147" s="3" t="inlineStr">
        <is>
          <t>Shares from YouTube Studio export</t>
        </is>
      </c>
    </row>
    <row r="148">
      <c r="A148" s="2" t="inlineStr">
        <is>
          <t>Separation | A Kehelmala Short</t>
        </is>
      </c>
      <c r="B148" s="2" t="inlineStr">
        <is>
          <t>YouTube</t>
        </is>
      </c>
      <c r="C148" s="6" t="n">
        <v>105361</v>
      </c>
      <c r="D148" s="7">
        <f>SUM(E148:G148)</f>
        <v/>
      </c>
      <c r="E148" s="6" t="n">
        <v>3032</v>
      </c>
      <c r="F148" s="6" t="n">
        <v>225</v>
      </c>
      <c r="G148" s="6" t="n">
        <v>115</v>
      </c>
      <c r="H148" s="11">
        <f>IF(C148&gt;0,D148/C148,"")</f>
        <v/>
      </c>
      <c r="I148" s="12" t="n">
        <v>46293</v>
      </c>
      <c r="J148" s="3" t="inlineStr">
        <is>
          <t>YouTube Data API (yt_pull.py)</t>
        </is>
      </c>
      <c r="K148" s="3" t="inlineStr">
        <is>
          <t>Shares from YouTube Studio export</t>
        </is>
      </c>
    </row>
    <row r="149">
      <c r="A149" s="2" t="inlineStr">
        <is>
          <t>Mummy loves you</t>
        </is>
      </c>
      <c r="B149" s="2" t="inlineStr">
        <is>
          <t>YouTube</t>
        </is>
      </c>
      <c r="C149" s="6" t="n">
        <v>74826</v>
      </c>
      <c r="D149" s="7">
        <f>SUM(E149:G149)</f>
        <v/>
      </c>
      <c r="E149" s="6" t="n"/>
      <c r="F149" s="6" t="n">
        <v>74</v>
      </c>
      <c r="G149" s="6" t="n">
        <v>34</v>
      </c>
      <c r="H149" s="11">
        <f>IF(C149&gt;0,D149/C149,"")</f>
        <v/>
      </c>
      <c r="I149" s="12" t="n">
        <v>46293</v>
      </c>
      <c r="J149" s="3" t="inlineStr">
        <is>
          <t>YouTube Data API (yt_pull.py)</t>
        </is>
      </c>
      <c r="K149" s="3" t="inlineStr">
        <is>
          <t>Shares from YouTube Studio export</t>
        </is>
      </c>
    </row>
    <row r="150">
      <c r="A150" s="2" t="inlineStr">
        <is>
          <t>Behave!</t>
        </is>
      </c>
      <c r="B150" s="2" t="inlineStr">
        <is>
          <t>YouTube</t>
        </is>
      </c>
      <c r="C150" s="6" t="n">
        <v>37331</v>
      </c>
      <c r="D150" s="7">
        <f>SUM(E150:G150)</f>
        <v/>
      </c>
      <c r="E150" s="6" t="n"/>
      <c r="F150" s="6" t="n">
        <v>71</v>
      </c>
      <c r="G150" s="6" t="n">
        <v>38</v>
      </c>
      <c r="H150" s="11">
        <f>IF(C150&gt;0,D150/C150,"")</f>
        <v/>
      </c>
      <c r="I150" s="12" t="n">
        <v>46293</v>
      </c>
      <c r="J150" s="3" t="inlineStr">
        <is>
          <t>YouTube Data API (yt_pull.py)</t>
        </is>
      </c>
      <c r="K150" s="3" t="inlineStr">
        <is>
          <t>Shares from YouTube Studio export</t>
        </is>
      </c>
    </row>
    <row r="151">
      <c r="A151" s="2" t="inlineStr">
        <is>
          <t>Behave! | A Kehelmala Short</t>
        </is>
      </c>
      <c r="B151" s="2" t="inlineStr">
        <is>
          <t>YouTube</t>
        </is>
      </c>
      <c r="C151" s="6" t="n">
        <v>35521</v>
      </c>
      <c r="D151" s="7">
        <f>SUM(E151:G151)</f>
        <v/>
      </c>
      <c r="E151" s="6" t="n">
        <v>1612</v>
      </c>
      <c r="F151" s="6" t="n">
        <v>364</v>
      </c>
      <c r="G151" s="6" t="n">
        <v>98</v>
      </c>
      <c r="H151" s="11">
        <f>IF(C151&gt;0,D151/C151,"")</f>
        <v/>
      </c>
      <c r="I151" s="12" t="n">
        <v>46293</v>
      </c>
      <c r="J151" s="3" t="inlineStr">
        <is>
          <t>YouTube Data API (yt_pull.py)</t>
        </is>
      </c>
      <c r="K151" s="3" t="inlineStr">
        <is>
          <t>Shares from YouTube Studio export</t>
        </is>
      </c>
    </row>
    <row r="152">
      <c r="A152" s="2" t="inlineStr">
        <is>
          <t>Granny’s Story</t>
        </is>
      </c>
      <c r="B152" s="2" t="inlineStr">
        <is>
          <t>YouTube</t>
        </is>
      </c>
      <c r="C152" s="6" t="n">
        <v>48615</v>
      </c>
      <c r="D152" s="7">
        <f>SUM(E152:G152)</f>
        <v/>
      </c>
      <c r="E152" s="6" t="n"/>
      <c r="F152" s="6" t="n">
        <v>298</v>
      </c>
      <c r="G152" s="6" t="n">
        <v>47</v>
      </c>
      <c r="H152" s="11">
        <f>IF(C152&gt;0,D152/C152,"")</f>
        <v/>
      </c>
      <c r="I152" s="12" t="n">
        <v>46293</v>
      </c>
      <c r="J152" s="3" t="inlineStr">
        <is>
          <t>YouTube Data API (yt_pull.py)</t>
        </is>
      </c>
      <c r="K152" s="3" t="inlineStr">
        <is>
          <t>Shares from YouTube Studio export</t>
        </is>
      </c>
    </row>
    <row r="153">
      <c r="A153" s="2" t="inlineStr">
        <is>
          <t>A Fertile Mystery</t>
        </is>
      </c>
      <c r="B153" s="2" t="inlineStr">
        <is>
          <t>YouTube</t>
        </is>
      </c>
      <c r="C153" s="6" t="n">
        <v>417803</v>
      </c>
      <c r="D153" s="7">
        <f>SUM(E153:G153)</f>
        <v/>
      </c>
      <c r="E153" s="6" t="n"/>
      <c r="F153" s="6" t="n">
        <v>458</v>
      </c>
      <c r="G153" s="6" t="n">
        <v>139</v>
      </c>
      <c r="H153" s="11">
        <f>IF(C153&gt;0,D153/C153,"")</f>
        <v/>
      </c>
      <c r="I153" s="12" t="n">
        <v>46293</v>
      </c>
      <c r="J153" s="3" t="inlineStr">
        <is>
          <t>YouTube Data API (yt_pull.py)</t>
        </is>
      </c>
      <c r="K153" s="3" t="inlineStr">
        <is>
          <t>Shares from YouTube Studio export</t>
        </is>
      </c>
    </row>
    <row r="154">
      <c r="A154" s="2" t="inlineStr">
        <is>
          <t>The Gaze</t>
        </is>
      </c>
      <c r="B154" s="2" t="inlineStr">
        <is>
          <t>YouTube</t>
        </is>
      </c>
      <c r="C154" s="6" t="n">
        <v>34270</v>
      </c>
      <c r="D154" s="7">
        <f>SUM(E154:G154)</f>
        <v/>
      </c>
      <c r="E154" s="6" t="n"/>
      <c r="F154" s="6" t="n">
        <v>25</v>
      </c>
      <c r="G154" s="6" t="n">
        <v>16</v>
      </c>
      <c r="H154" s="11">
        <f>IF(C154&gt;0,D154/C154,"")</f>
        <v/>
      </c>
      <c r="I154" s="12" t="n">
        <v>46293</v>
      </c>
      <c r="J154" s="3" t="inlineStr">
        <is>
          <t>YouTube Data API (yt_pull.py)</t>
        </is>
      </c>
      <c r="K154" s="3" t="inlineStr">
        <is>
          <t>Shares from YouTube Studio export</t>
        </is>
      </c>
    </row>
    <row r="155">
      <c r="A155" s="2" t="inlineStr">
        <is>
          <t>The Gaze | A Kehelmala Short</t>
        </is>
      </c>
      <c r="B155" s="2" t="inlineStr">
        <is>
          <t>YouTube</t>
        </is>
      </c>
      <c r="C155" s="6" t="n">
        <v>28045</v>
      </c>
      <c r="D155" s="7">
        <f>SUM(E155:G155)</f>
        <v/>
      </c>
      <c r="E155" s="6" t="n">
        <v>1051</v>
      </c>
      <c r="F155" s="6" t="n">
        <v>91</v>
      </c>
      <c r="G155" s="6" t="n">
        <v>65</v>
      </c>
      <c r="H155" s="11">
        <f>IF(C155&gt;0,D155/C155,"")</f>
        <v/>
      </c>
      <c r="I155" s="12" t="n">
        <v>46293</v>
      </c>
      <c r="J155" s="3" t="inlineStr">
        <is>
          <t>YouTube Data API (yt_pull.py)</t>
        </is>
      </c>
      <c r="K155" s="3" t="inlineStr">
        <is>
          <t>Shares from YouTube Studio export</t>
        </is>
      </c>
    </row>
    <row r="156">
      <c r="A156" s="2" t="inlineStr">
        <is>
          <t>Family Portrait</t>
        </is>
      </c>
      <c r="B156" s="2" t="inlineStr">
        <is>
          <t>YouTube</t>
        </is>
      </c>
      <c r="C156" s="6" t="n">
        <v>43799</v>
      </c>
      <c r="D156" s="7">
        <f>SUM(E156:G156)</f>
        <v/>
      </c>
      <c r="E156" s="6" t="n"/>
      <c r="F156" s="6" t="n">
        <v>121</v>
      </c>
      <c r="G156" s="6" t="n">
        <v>10</v>
      </c>
      <c r="H156" s="11">
        <f>IF(C156&gt;0,D156/C156,"")</f>
        <v/>
      </c>
      <c r="I156" s="12" t="n">
        <v>46293</v>
      </c>
      <c r="J156" s="3" t="inlineStr">
        <is>
          <t>YouTube Data API (yt_pull.py)</t>
        </is>
      </c>
      <c r="K156" s="3" t="inlineStr">
        <is>
          <t>Shares from YouTube Studio export</t>
        </is>
      </c>
    </row>
    <row r="157">
      <c r="A157" s="2" t="inlineStr">
        <is>
          <t>The Miracle | A Kehelmala Short</t>
        </is>
      </c>
      <c r="B157" s="2" t="inlineStr">
        <is>
          <t>YouTube</t>
        </is>
      </c>
      <c r="C157" s="6" t="n">
        <v>46380</v>
      </c>
      <c r="D157" s="7">
        <f>SUM(E157:G157)</f>
        <v/>
      </c>
      <c r="E157" s="6" t="n">
        <v>2207</v>
      </c>
      <c r="F157" s="6" t="n">
        <v>562</v>
      </c>
      <c r="G157" s="6" t="n">
        <v>121</v>
      </c>
      <c r="H157" s="11">
        <f>IF(C157&gt;0,D157/C157,"")</f>
        <v/>
      </c>
      <c r="I157" s="12" t="n">
        <v>46293</v>
      </c>
      <c r="J157" s="3" t="inlineStr">
        <is>
          <t>YouTube Data API (yt_pull.py)</t>
        </is>
      </c>
      <c r="K157" s="3" t="inlineStr">
        <is>
          <t>Shares from YouTube Studio export</t>
        </is>
      </c>
    </row>
    <row r="158">
      <c r="A158" s="2" t="inlineStr">
        <is>
          <t>Sensational! | A Kehelmala Short</t>
        </is>
      </c>
      <c r="B158" s="2" t="inlineStr">
        <is>
          <t>YouTube</t>
        </is>
      </c>
      <c r="C158" s="6" t="n">
        <v>42467</v>
      </c>
      <c r="D158" s="7">
        <f>SUM(E158:G158)</f>
        <v/>
      </c>
      <c r="E158" s="6" t="n">
        <v>1506</v>
      </c>
      <c r="F158" s="6" t="n">
        <v>113</v>
      </c>
      <c r="G158" s="6" t="n">
        <v>42</v>
      </c>
      <c r="H158" s="11">
        <f>IF(C158&gt;0,D158/C158,"")</f>
        <v/>
      </c>
      <c r="I158" s="12" t="n">
        <v>46293</v>
      </c>
      <c r="J158" s="3" t="inlineStr">
        <is>
          <t>YouTube Data API (yt_pull.py)</t>
        </is>
      </c>
      <c r="K158" s="3" t="inlineStr">
        <is>
          <t>Shares from YouTube Studio export</t>
        </is>
      </c>
    </row>
    <row r="159">
      <c r="A159" s="2" t="inlineStr">
        <is>
          <t>Coal</t>
        </is>
      </c>
      <c r="B159" s="2" t="inlineStr">
        <is>
          <t>YouTube</t>
        </is>
      </c>
      <c r="C159" s="6" t="n">
        <v>3660587</v>
      </c>
      <c r="D159" s="7">
        <f>SUM(E159:G159)</f>
        <v/>
      </c>
      <c r="E159" s="6" t="n"/>
      <c r="F159" s="6" t="n">
        <v>1842</v>
      </c>
      <c r="G159" s="6" t="n">
        <v>550</v>
      </c>
      <c r="H159" s="11">
        <f>IF(C159&gt;0,D159/C159,"")</f>
        <v/>
      </c>
      <c r="I159" s="12" t="n">
        <v>46293</v>
      </c>
      <c r="J159" s="3" t="inlineStr">
        <is>
          <t>YouTube Data API (yt_pull.py)</t>
        </is>
      </c>
      <c r="K159" s="3" t="inlineStr">
        <is>
          <t>Shares from YouTube Studio export</t>
        </is>
      </c>
    </row>
    <row r="160">
      <c r="A160" s="2" t="inlineStr">
        <is>
          <t>Caught in the Act | A Kehelmala Short</t>
        </is>
      </c>
      <c r="B160" s="2" t="inlineStr">
        <is>
          <t>YouTube</t>
        </is>
      </c>
      <c r="C160" s="6" t="n">
        <v>1516604</v>
      </c>
      <c r="D160" s="7">
        <f>SUM(E160:G160)</f>
        <v/>
      </c>
      <c r="E160" s="6" t="n">
        <v>12465</v>
      </c>
      <c r="F160" s="6" t="n">
        <v>3847</v>
      </c>
      <c r="G160" s="6" t="n">
        <v>396</v>
      </c>
      <c r="H160" s="11">
        <f>IF(C160&gt;0,D160/C160,"")</f>
        <v/>
      </c>
      <c r="I160" s="12" t="n">
        <v>46293</v>
      </c>
      <c r="J160" s="3" t="inlineStr">
        <is>
          <t>YouTube Data API (yt_pull.py)</t>
        </is>
      </c>
      <c r="K160" s="3" t="inlineStr">
        <is>
          <t>Shares from YouTube Studio export</t>
        </is>
      </c>
    </row>
    <row r="161">
      <c r="A161" s="2" t="inlineStr">
        <is>
          <t>The Farewell | A Kehelmala Short</t>
        </is>
      </c>
      <c r="B161" s="2" t="inlineStr">
        <is>
          <t>YouTube</t>
        </is>
      </c>
      <c r="C161" s="6" t="n">
        <v>68781</v>
      </c>
      <c r="D161" s="7">
        <f>SUM(E161:G161)</f>
        <v/>
      </c>
      <c r="E161" s="6" t="n">
        <v>1955</v>
      </c>
      <c r="F161" s="6" t="n">
        <v>551</v>
      </c>
      <c r="G161" s="6" t="n">
        <v>90</v>
      </c>
      <c r="H161" s="11">
        <f>IF(C161&gt;0,D161/C161,"")</f>
        <v/>
      </c>
      <c r="I161" s="12" t="n">
        <v>46293</v>
      </c>
      <c r="J161" s="3" t="inlineStr">
        <is>
          <t>YouTube Data API (yt_pull.py)</t>
        </is>
      </c>
      <c r="K161" s="3" t="inlineStr">
        <is>
          <t>Shares from YouTube Studio export</t>
        </is>
      </c>
    </row>
    <row r="162">
      <c r="A162" s="2" t="inlineStr">
        <is>
          <t>Demonic</t>
        </is>
      </c>
      <c r="B162" s="2" t="inlineStr">
        <is>
          <t>YouTube</t>
        </is>
      </c>
      <c r="C162" s="6" t="n">
        <v>41098</v>
      </c>
      <c r="D162" s="7">
        <f>SUM(E162:G162)</f>
        <v/>
      </c>
      <c r="E162" s="6" t="n">
        <v>1512</v>
      </c>
      <c r="F162" s="6" t="n">
        <v>43</v>
      </c>
      <c r="G162" s="6" t="n">
        <v>16</v>
      </c>
      <c r="H162" s="11">
        <f>IF(C162&gt;0,D162/C162,"")</f>
        <v/>
      </c>
      <c r="I162" s="12" t="n">
        <v>46293</v>
      </c>
      <c r="J162" s="3" t="inlineStr">
        <is>
          <t>YouTube Data API (yt_pull.py)</t>
        </is>
      </c>
      <c r="K162" s="3" t="inlineStr">
        <is>
          <t>Shares from YouTube Studio export</t>
        </is>
      </c>
    </row>
    <row r="163">
      <c r="A163" s="2" t="inlineStr">
        <is>
          <t>Gratitude | A Kehelmala Short</t>
        </is>
      </c>
      <c r="B163" s="2" t="inlineStr">
        <is>
          <t>YouTube</t>
        </is>
      </c>
      <c r="C163" s="6" t="n">
        <v>8274</v>
      </c>
      <c r="D163" s="7">
        <f>SUM(E163:G163)</f>
        <v/>
      </c>
      <c r="E163" s="6" t="n">
        <v>983</v>
      </c>
      <c r="F163" s="6" t="n">
        <v>343</v>
      </c>
      <c r="G163" s="6" t="n">
        <v>76</v>
      </c>
      <c r="H163" s="11">
        <f>IF(C163&gt;0,D163/C163,"")</f>
        <v/>
      </c>
      <c r="I163" s="12" t="n">
        <v>46293</v>
      </c>
      <c r="J163" s="3" t="inlineStr">
        <is>
          <t>YouTube Data API (yt_pull.py)</t>
        </is>
      </c>
      <c r="K163" s="3" t="inlineStr">
        <is>
          <t>Shares from YouTube Studio export</t>
        </is>
      </c>
    </row>
    <row r="164">
      <c r="A164" s="2" t="inlineStr">
        <is>
          <t>Chocolate - Part 1 | A Kehelmala Short Series</t>
        </is>
      </c>
      <c r="B164" s="2" t="inlineStr">
        <is>
          <t>YouTube</t>
        </is>
      </c>
      <c r="C164" s="6" t="n">
        <v>40535</v>
      </c>
      <c r="D164" s="7">
        <f>SUM(E164:G164)</f>
        <v/>
      </c>
      <c r="E164" s="6" t="n">
        <v>909</v>
      </c>
      <c r="F164" s="6" t="n">
        <v>324</v>
      </c>
      <c r="G164" s="6" t="n">
        <v>33</v>
      </c>
      <c r="H164" s="11">
        <f>IF(C164&gt;0,D164/C164,"")</f>
        <v/>
      </c>
      <c r="I164" s="12" t="n">
        <v>46293</v>
      </c>
      <c r="J164" s="3" t="inlineStr">
        <is>
          <t>YouTube Data API (yt_pull.py)</t>
        </is>
      </c>
      <c r="K164" s="3" t="inlineStr">
        <is>
          <t>Shares from YouTube Studio export</t>
        </is>
      </c>
    </row>
    <row r="165">
      <c r="A165" s="2" t="inlineStr">
        <is>
          <t>Happy Birthday! | A Kehelmala Short</t>
        </is>
      </c>
      <c r="B165" s="2" t="inlineStr">
        <is>
          <t>YouTube</t>
        </is>
      </c>
      <c r="C165" s="6" t="n">
        <v>61046</v>
      </c>
      <c r="D165" s="7">
        <f>SUM(E165:G165)</f>
        <v/>
      </c>
      <c r="E165" s="6" t="n">
        <v>1873</v>
      </c>
      <c r="F165" s="6" t="n">
        <v>153</v>
      </c>
      <c r="G165" s="6" t="n">
        <v>47</v>
      </c>
      <c r="H165" s="11">
        <f>IF(C165&gt;0,D165/C165,"")</f>
        <v/>
      </c>
      <c r="I165" s="12" t="n">
        <v>46293</v>
      </c>
      <c r="J165" s="3" t="inlineStr">
        <is>
          <t>YouTube Data API (yt_pull.py)</t>
        </is>
      </c>
      <c r="K165" s="3" t="inlineStr">
        <is>
          <t>Shares from YouTube Studio export</t>
        </is>
      </c>
    </row>
    <row r="166">
      <c r="A166" s="2" t="inlineStr">
        <is>
          <t>Just Right!</t>
        </is>
      </c>
      <c r="B166" s="2" t="inlineStr">
        <is>
          <t>YouTube</t>
        </is>
      </c>
      <c r="C166" s="6" t="n">
        <v>565159</v>
      </c>
      <c r="D166" s="7">
        <f>SUM(E166:G166)</f>
        <v/>
      </c>
      <c r="E166" s="6" t="n"/>
      <c r="F166" s="6" t="n">
        <v>1088</v>
      </c>
      <c r="G166" s="6" t="n">
        <v>193</v>
      </c>
      <c r="H166" s="11">
        <f>IF(C166&gt;0,D166/C166,"")</f>
        <v/>
      </c>
      <c r="I166" s="12" t="n">
        <v>46293</v>
      </c>
      <c r="J166" s="3" t="inlineStr">
        <is>
          <t>YouTube Data API (yt_pull.py)</t>
        </is>
      </c>
      <c r="K166" s="3" t="inlineStr">
        <is>
          <t>Shares from YouTube Studio export</t>
        </is>
      </c>
    </row>
    <row r="167">
      <c r="A167" s="2" t="inlineStr">
        <is>
          <t>Santa’s Gift</t>
        </is>
      </c>
      <c r="B167" s="2" t="inlineStr">
        <is>
          <t>YouTube</t>
        </is>
      </c>
      <c r="C167" s="6" t="n">
        <v>35315</v>
      </c>
      <c r="D167" s="7">
        <f>SUM(E167:G167)</f>
        <v/>
      </c>
      <c r="E167" s="6" t="n"/>
      <c r="F167" s="6" t="n">
        <v>180</v>
      </c>
      <c r="G167" s="6" t="n"/>
      <c r="H167" s="11">
        <f>IF(C167&gt;0,D167/C167,"")</f>
        <v/>
      </c>
      <c r="I167" s="12" t="n">
        <v>46293</v>
      </c>
      <c r="J167" s="3" t="inlineStr">
        <is>
          <t>YouTube Data API (yt_pull.py)</t>
        </is>
      </c>
      <c r="K167" s="3" t="inlineStr">
        <is>
          <t>Shares from YouTube Studio export</t>
        </is>
      </c>
    </row>
    <row r="168">
      <c r="A168" s="2" t="inlineStr">
        <is>
          <t>The Talk</t>
        </is>
      </c>
      <c r="B168" s="2" t="inlineStr">
        <is>
          <t>YouTube</t>
        </is>
      </c>
      <c r="C168" s="6" t="n">
        <v>33125</v>
      </c>
      <c r="D168" s="7">
        <f>SUM(E168:G168)</f>
        <v/>
      </c>
      <c r="E168" s="6" t="n">
        <v>1713</v>
      </c>
      <c r="F168" s="6" t="n">
        <v>91</v>
      </c>
      <c r="G168" s="6" t="n">
        <v>17</v>
      </c>
      <c r="H168" s="11">
        <f>IF(C168&gt;0,D168/C168,"")</f>
        <v/>
      </c>
      <c r="I168" s="12" t="n">
        <v>46293</v>
      </c>
      <c r="J168" s="3" t="inlineStr">
        <is>
          <t>YouTube Data API (yt_pull.py)</t>
        </is>
      </c>
      <c r="K168" s="3" t="inlineStr">
        <is>
          <t>Shares from YouTube Studio export</t>
        </is>
      </c>
    </row>
    <row r="169">
      <c r="A169" s="2" t="inlineStr">
        <is>
          <t>Welcome to my home #movie #drama #love #obsession #dark</t>
        </is>
      </c>
      <c r="B169" s="2" t="inlineStr">
        <is>
          <t>YouTube</t>
        </is>
      </c>
      <c r="C169" s="6" t="n">
        <v>114016</v>
      </c>
      <c r="D169" s="7">
        <f>SUM(E169:G169)</f>
        <v/>
      </c>
      <c r="E169" s="6" t="n">
        <v>4781</v>
      </c>
      <c r="F169" s="6" t="n">
        <v>223</v>
      </c>
      <c r="G169" s="6" t="n">
        <v>46</v>
      </c>
      <c r="H169" s="11">
        <f>IF(C169&gt;0,D169/C169,"")</f>
        <v/>
      </c>
      <c r="I169" s="12" t="n">
        <v>46293</v>
      </c>
      <c r="J169" s="3" t="inlineStr">
        <is>
          <t>YouTube Data API (yt_pull.py)</t>
        </is>
      </c>
      <c r="K169" s="3" t="inlineStr">
        <is>
          <t>Shares from YouTube Studio export</t>
        </is>
      </c>
    </row>
    <row r="170">
      <c r="A170" s="2" t="inlineStr">
        <is>
          <t>Custodians</t>
        </is>
      </c>
      <c r="B170" s="2" t="inlineStr">
        <is>
          <t>YouTube</t>
        </is>
      </c>
      <c r="C170" s="6" t="n">
        <v>131379</v>
      </c>
      <c r="D170" s="7">
        <f>SUM(E170:G170)</f>
        <v/>
      </c>
      <c r="E170" s="6" t="n">
        <v>3989</v>
      </c>
      <c r="F170" s="6" t="n">
        <v>100</v>
      </c>
      <c r="G170" s="6" t="n">
        <v>17</v>
      </c>
      <c r="H170" s="11">
        <f>IF(C170&gt;0,D170/C170,"")</f>
        <v/>
      </c>
      <c r="I170" s="12" t="n">
        <v>46293</v>
      </c>
      <c r="J170" s="3" t="inlineStr">
        <is>
          <t>YouTube Data API (yt_pull.py)</t>
        </is>
      </c>
      <c r="K170" s="3" t="inlineStr">
        <is>
          <t>Shares from YouTube Studio export</t>
        </is>
      </c>
    </row>
    <row r="171">
      <c r="A171" s="2" t="inlineStr">
        <is>
          <t>The Run In | A Kehelmala Short</t>
        </is>
      </c>
      <c r="B171" s="2" t="inlineStr">
        <is>
          <t>YouTube</t>
        </is>
      </c>
      <c r="C171" s="6" t="n">
        <v>37611</v>
      </c>
      <c r="D171" s="7">
        <f>SUM(E171:G171)</f>
        <v/>
      </c>
      <c r="E171" s="6" t="n">
        <v>1541</v>
      </c>
      <c r="F171" s="6" t="n">
        <v>413</v>
      </c>
      <c r="G171" s="6" t="n">
        <v>72</v>
      </c>
      <c r="H171" s="11">
        <f>IF(C171&gt;0,D171/C171,"")</f>
        <v/>
      </c>
      <c r="I171" s="12" t="n">
        <v>46293</v>
      </c>
      <c r="J171" s="3" t="inlineStr">
        <is>
          <t>YouTube Data API (yt_pull.py)</t>
        </is>
      </c>
      <c r="K171" s="3" t="inlineStr">
        <is>
          <t>Shares from YouTube Studio export</t>
        </is>
      </c>
    </row>
    <row r="172">
      <c r="A172" s="2" t="inlineStr">
        <is>
          <t>Kehelmala Showreel | 2024</t>
        </is>
      </c>
      <c r="B172" s="2" t="inlineStr">
        <is>
          <t>YouTube</t>
        </is>
      </c>
      <c r="C172" s="6" t="n">
        <v>23983</v>
      </c>
      <c r="D172" s="7">
        <f>SUM(E172:G172)</f>
        <v/>
      </c>
      <c r="E172" s="6" t="n">
        <v>666</v>
      </c>
      <c r="F172" s="6" t="n">
        <v>31</v>
      </c>
      <c r="G172" s="6" t="n">
        <v>27</v>
      </c>
      <c r="H172" s="11">
        <f>IF(C172&gt;0,D172/C172,"")</f>
        <v/>
      </c>
      <c r="I172" s="12" t="n">
        <v>46293</v>
      </c>
      <c r="J172" s="3" t="inlineStr">
        <is>
          <t>YouTube Data API (yt_pull.py)</t>
        </is>
      </c>
      <c r="K172" s="3" t="inlineStr">
        <is>
          <t>Shares from YouTube Studio export</t>
        </is>
      </c>
    </row>
    <row r="173">
      <c r="A173" s="2" t="inlineStr">
        <is>
          <t>GROWTHesque - Trailer for United Solo New York City 2022</t>
        </is>
      </c>
      <c r="B173" s="2" t="inlineStr">
        <is>
          <t>YouTube</t>
        </is>
      </c>
      <c r="C173" s="6" t="n">
        <v>4598</v>
      </c>
      <c r="D173" s="7">
        <f>SUM(E173:G173)</f>
        <v/>
      </c>
      <c r="E173" s="6" t="n">
        <v>193</v>
      </c>
      <c r="F173" s="6" t="n">
        <v>52</v>
      </c>
      <c r="G173" s="6" t="n">
        <v>5</v>
      </c>
      <c r="H173" s="11">
        <f>IF(C173&gt;0,D173/C173,"")</f>
        <v/>
      </c>
      <c r="I173" s="12" t="n">
        <v>46293</v>
      </c>
      <c r="J173" s="3" t="inlineStr">
        <is>
          <t>YouTube Data API (yt_pull.py)</t>
        </is>
      </c>
      <c r="K173" s="3" t="inlineStr">
        <is>
          <t>Shares from YouTube Studio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2026-09-28T08:16:44Z</dcterms:created>
  <dcterms:modified xsi:type="dcterms:W3CDTF">2026-09-28T08:51:36Z</dcterms:modified>
</cp:coreProperties>
</file>